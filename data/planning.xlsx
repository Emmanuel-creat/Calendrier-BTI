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taillebot.v\Documents\ADMIN_RESP_MASTER_BTI\emploi_temps\"/>
    </mc:Choice>
  </mc:AlternateContent>
  <xr:revisionPtr revIDLastSave="0" documentId="13_ncr:1_{1ACF6BF8-1225-4DA7-81A1-35ED74D777A5}" xr6:coauthVersionLast="47" xr6:coauthVersionMax="47" xr10:uidLastSave="{00000000-0000-0000-0000-000000000000}"/>
  <bookViews>
    <workbookView xWindow="38280" yWindow="2490" windowWidth="29040" windowHeight="15720" xr2:uid="{00000000-000D-0000-FFFF-FFFF00000000}"/>
  </bookViews>
  <sheets>
    <sheet name="26_27_V6" sheetId="10" r:id="rId1"/>
    <sheet name="26_27_V5" sheetId="9" r:id="rId2"/>
    <sheet name="26_27_V3" sheetId="8" r:id="rId3"/>
    <sheet name="26_27_V2" sheetId="7" r:id="rId4"/>
    <sheet name="26_27_V1" sheetId="6" r:id="rId5"/>
    <sheet name="26_27_V0" sheetId="5" r:id="rId6"/>
    <sheet name="Bilan CT fin janvier" sheetId="11" r:id="rId7"/>
  </sheets>
  <definedNames>
    <definedName name="_xlnm.Print_Area" localSheetId="5">'26_27_V0'!$D$1:$BD$36</definedName>
    <definedName name="_xlnm.Print_Area" localSheetId="4">'26_27_V1'!$D$1:$BD$36</definedName>
    <definedName name="_xlnm.Print_Area" localSheetId="3">'26_27_V2'!$D$1:$BD$36</definedName>
    <definedName name="_xlnm.Print_Area" localSheetId="2">'26_27_V3'!$D$1:$BD$36</definedName>
    <definedName name="_xlnm.Print_Area" localSheetId="1">'26_27_V5'!$D$1:$BD$36</definedName>
    <definedName name="_xlnm.Print_Area" localSheetId="0">'26_27_V6'!$D$1:$BD$36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V4" i="10" l="1"/>
  <c r="AV5" i="10" s="1"/>
  <c r="AV6" i="10" s="1"/>
  <c r="AV7" i="10" s="1"/>
  <c r="AV8" i="10" s="1"/>
  <c r="AV9" i="10" s="1"/>
  <c r="AV10" i="10" s="1"/>
  <c r="AV11" i="10" s="1"/>
  <c r="AV12" i="10" s="1"/>
  <c r="AV13" i="10" s="1"/>
  <c r="AV14" i="10" s="1"/>
  <c r="AV15" i="10" s="1"/>
  <c r="AV16" i="10" s="1"/>
  <c r="AV17" i="10" s="1"/>
  <c r="AV18" i="10" s="1"/>
  <c r="AV19" i="10" s="1"/>
  <c r="AV20" i="10" s="1"/>
  <c r="AV21" i="10" s="1"/>
  <c r="AV22" i="10" s="1"/>
  <c r="AV23" i="10" s="1"/>
  <c r="AV24" i="10" s="1"/>
  <c r="AV25" i="10" s="1"/>
  <c r="AV26" i="10" s="1"/>
  <c r="AV27" i="10" s="1"/>
  <c r="AK4" i="10"/>
  <c r="AK5" i="10" s="1"/>
  <c r="AK6" i="10" s="1"/>
  <c r="AK7" i="10" s="1"/>
  <c r="AK8" i="10" s="1"/>
  <c r="AK9" i="10" s="1"/>
  <c r="AK10" i="10" s="1"/>
  <c r="AK11" i="10" s="1"/>
  <c r="AK12" i="10" s="1"/>
  <c r="AK13" i="10" s="1"/>
  <c r="AK14" i="10" s="1"/>
  <c r="AK15" i="10" s="1"/>
  <c r="AK16" i="10" s="1"/>
  <c r="AK17" i="10" s="1"/>
  <c r="AK18" i="10" s="1"/>
  <c r="AK19" i="10" s="1"/>
  <c r="AK20" i="10" s="1"/>
  <c r="AK21" i="10" s="1"/>
  <c r="AK22" i="10" s="1"/>
  <c r="AK23" i="10" s="1"/>
  <c r="AK24" i="10" s="1"/>
  <c r="AK25" i="10" s="1"/>
  <c r="AK26" i="10" s="1"/>
  <c r="AK27" i="10" s="1"/>
  <c r="AV3" i="10"/>
  <c r="AK3" i="10"/>
  <c r="Z3" i="10"/>
  <c r="Z4" i="10" s="1"/>
  <c r="Z5" i="10" s="1"/>
  <c r="Z6" i="10" s="1"/>
  <c r="Z7" i="10" s="1"/>
  <c r="Z8" i="10" s="1"/>
  <c r="Z9" i="10" s="1"/>
  <c r="Z10" i="10" s="1"/>
  <c r="Z11" i="10" s="1"/>
  <c r="Z12" i="10" s="1"/>
  <c r="Z13" i="10" s="1"/>
  <c r="Z14" i="10" s="1"/>
  <c r="Z15" i="10" s="1"/>
  <c r="Z16" i="10" s="1"/>
  <c r="Z17" i="10" s="1"/>
  <c r="Z18" i="10" s="1"/>
  <c r="Z19" i="10" s="1"/>
  <c r="Z20" i="10" s="1"/>
  <c r="Z21" i="10" s="1"/>
  <c r="Z22" i="10" s="1"/>
  <c r="Z23" i="10" s="1"/>
  <c r="Z24" i="10" s="1"/>
  <c r="Z25" i="10" s="1"/>
  <c r="Z26" i="10" s="1"/>
  <c r="Z27" i="10" s="1"/>
  <c r="O3" i="10"/>
  <c r="O4" i="10" s="1"/>
  <c r="O5" i="10" s="1"/>
  <c r="O6" i="10" s="1"/>
  <c r="O7" i="10" s="1"/>
  <c r="O8" i="10" s="1"/>
  <c r="O9" i="10" s="1"/>
  <c r="O10" i="10" s="1"/>
  <c r="O11" i="10" s="1"/>
  <c r="O12" i="10" s="1"/>
  <c r="O13" i="10" s="1"/>
  <c r="O14" i="10" s="1"/>
  <c r="O15" i="10" s="1"/>
  <c r="O16" i="10" s="1"/>
  <c r="O17" i="10" s="1"/>
  <c r="O18" i="10" s="1"/>
  <c r="O19" i="10" s="1"/>
  <c r="O20" i="10" s="1"/>
  <c r="O21" i="10" s="1"/>
  <c r="O22" i="10" s="1"/>
  <c r="O23" i="10" s="1"/>
  <c r="O24" i="10" s="1"/>
  <c r="O25" i="10" s="1"/>
  <c r="O26" i="10" s="1"/>
  <c r="O27" i="10" s="1"/>
  <c r="D3" i="10"/>
  <c r="B3" i="10"/>
  <c r="A4" i="10" s="1"/>
  <c r="AV3" i="9"/>
  <c r="AV4" i="9" s="1"/>
  <c r="AV5" i="9" s="1"/>
  <c r="AV6" i="9" s="1"/>
  <c r="AV7" i="9" s="1"/>
  <c r="AV8" i="9" s="1"/>
  <c r="AV9" i="9" s="1"/>
  <c r="AV10" i="9" s="1"/>
  <c r="AV11" i="9" s="1"/>
  <c r="AV12" i="9" s="1"/>
  <c r="AV13" i="9" s="1"/>
  <c r="AV14" i="9" s="1"/>
  <c r="AV15" i="9" s="1"/>
  <c r="AV16" i="9" s="1"/>
  <c r="AV17" i="9" s="1"/>
  <c r="AV18" i="9" s="1"/>
  <c r="AV19" i="9" s="1"/>
  <c r="AV20" i="9" s="1"/>
  <c r="AV21" i="9" s="1"/>
  <c r="AV22" i="9" s="1"/>
  <c r="AV23" i="9" s="1"/>
  <c r="AV24" i="9" s="1"/>
  <c r="AV25" i="9" s="1"/>
  <c r="AV26" i="9" s="1"/>
  <c r="AV27" i="9" s="1"/>
  <c r="AK3" i="9"/>
  <c r="AK4" i="9" s="1"/>
  <c r="AK5" i="9" s="1"/>
  <c r="AK6" i="9" s="1"/>
  <c r="AK7" i="9" s="1"/>
  <c r="AK8" i="9" s="1"/>
  <c r="AK9" i="9" s="1"/>
  <c r="AK10" i="9" s="1"/>
  <c r="AK11" i="9" s="1"/>
  <c r="AK12" i="9" s="1"/>
  <c r="AK13" i="9" s="1"/>
  <c r="AK14" i="9" s="1"/>
  <c r="AK15" i="9" s="1"/>
  <c r="AK16" i="9" s="1"/>
  <c r="AK17" i="9" s="1"/>
  <c r="AK18" i="9" s="1"/>
  <c r="AK19" i="9" s="1"/>
  <c r="AK20" i="9" s="1"/>
  <c r="AK21" i="9" s="1"/>
  <c r="AK22" i="9" s="1"/>
  <c r="AK23" i="9" s="1"/>
  <c r="AK24" i="9" s="1"/>
  <c r="AK25" i="9" s="1"/>
  <c r="AK26" i="9" s="1"/>
  <c r="AK27" i="9" s="1"/>
  <c r="Z3" i="9"/>
  <c r="Z4" i="9" s="1"/>
  <c r="Z5" i="9" s="1"/>
  <c r="Z6" i="9" s="1"/>
  <c r="Z7" i="9" s="1"/>
  <c r="Z8" i="9" s="1"/>
  <c r="Z9" i="9" s="1"/>
  <c r="Z10" i="9" s="1"/>
  <c r="Z11" i="9" s="1"/>
  <c r="Z12" i="9" s="1"/>
  <c r="Z13" i="9" s="1"/>
  <c r="Z14" i="9" s="1"/>
  <c r="Z15" i="9" s="1"/>
  <c r="Z16" i="9" s="1"/>
  <c r="Z17" i="9" s="1"/>
  <c r="Z18" i="9" s="1"/>
  <c r="Z19" i="9" s="1"/>
  <c r="Z20" i="9" s="1"/>
  <c r="Z21" i="9" s="1"/>
  <c r="Z22" i="9" s="1"/>
  <c r="Z23" i="9" s="1"/>
  <c r="Z24" i="9" s="1"/>
  <c r="Z25" i="9" s="1"/>
  <c r="Z26" i="9" s="1"/>
  <c r="Z27" i="9" s="1"/>
  <c r="O3" i="9"/>
  <c r="O4" i="9" s="1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D3" i="9"/>
  <c r="B3" i="9"/>
  <c r="A4" i="9" s="1"/>
  <c r="AV3" i="8"/>
  <c r="AV4" i="8" s="1"/>
  <c r="AV5" i="8" s="1"/>
  <c r="AV6" i="8" s="1"/>
  <c r="AV7" i="8" s="1"/>
  <c r="AV8" i="8" s="1"/>
  <c r="AV9" i="8" s="1"/>
  <c r="AV10" i="8" s="1"/>
  <c r="AV11" i="8" s="1"/>
  <c r="AV12" i="8" s="1"/>
  <c r="AV13" i="8" s="1"/>
  <c r="AV14" i="8" s="1"/>
  <c r="AV15" i="8" s="1"/>
  <c r="AV16" i="8" s="1"/>
  <c r="AV17" i="8" s="1"/>
  <c r="AV18" i="8" s="1"/>
  <c r="AV19" i="8" s="1"/>
  <c r="AV20" i="8" s="1"/>
  <c r="AV21" i="8" s="1"/>
  <c r="AV22" i="8" s="1"/>
  <c r="AV23" i="8" s="1"/>
  <c r="AV24" i="8" s="1"/>
  <c r="AV25" i="8" s="1"/>
  <c r="AV26" i="8" s="1"/>
  <c r="AV27" i="8" s="1"/>
  <c r="AK3" i="8"/>
  <c r="AK4" i="8" s="1"/>
  <c r="AK5" i="8" s="1"/>
  <c r="AK6" i="8" s="1"/>
  <c r="AK7" i="8" s="1"/>
  <c r="AK8" i="8" s="1"/>
  <c r="AK9" i="8" s="1"/>
  <c r="AK10" i="8" s="1"/>
  <c r="AK11" i="8" s="1"/>
  <c r="AK12" i="8" s="1"/>
  <c r="AK13" i="8" s="1"/>
  <c r="AK14" i="8" s="1"/>
  <c r="AK15" i="8" s="1"/>
  <c r="AK16" i="8" s="1"/>
  <c r="AK17" i="8" s="1"/>
  <c r="AK18" i="8" s="1"/>
  <c r="AK19" i="8" s="1"/>
  <c r="AK20" i="8" s="1"/>
  <c r="AK21" i="8" s="1"/>
  <c r="AK22" i="8" s="1"/>
  <c r="AK23" i="8" s="1"/>
  <c r="AK24" i="8" s="1"/>
  <c r="AK25" i="8" s="1"/>
  <c r="AK26" i="8" s="1"/>
  <c r="AK27" i="8" s="1"/>
  <c r="Z3" i="8"/>
  <c r="Z4" i="8" s="1"/>
  <c r="Z5" i="8" s="1"/>
  <c r="Z6" i="8" s="1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Z21" i="8" s="1"/>
  <c r="Z22" i="8" s="1"/>
  <c r="Z23" i="8" s="1"/>
  <c r="Z24" i="8" s="1"/>
  <c r="Z25" i="8" s="1"/>
  <c r="Z26" i="8" s="1"/>
  <c r="Z27" i="8" s="1"/>
  <c r="O3" i="8"/>
  <c r="O4" i="8" s="1"/>
  <c r="O5" i="8" s="1"/>
  <c r="O6" i="8" s="1"/>
  <c r="O7" i="8" s="1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D3" i="8"/>
  <c r="B3" i="8"/>
  <c r="A4" i="8" s="1"/>
  <c r="O22" i="7"/>
  <c r="AV3" i="7"/>
  <c r="AV4" i="7" s="1"/>
  <c r="AV5" i="7" s="1"/>
  <c r="AV6" i="7" s="1"/>
  <c r="AV7" i="7" s="1"/>
  <c r="AV8" i="7" s="1"/>
  <c r="AV9" i="7" s="1"/>
  <c r="AV10" i="7" s="1"/>
  <c r="AV11" i="7" s="1"/>
  <c r="AV12" i="7" s="1"/>
  <c r="AV13" i="7" s="1"/>
  <c r="AV14" i="7" s="1"/>
  <c r="AV15" i="7" s="1"/>
  <c r="AV16" i="7" s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K3" i="7"/>
  <c r="AK4" i="7" s="1"/>
  <c r="AK5" i="7" s="1"/>
  <c r="AK6" i="7" s="1"/>
  <c r="AK7" i="7" s="1"/>
  <c r="AK8" i="7" s="1"/>
  <c r="AK9" i="7" s="1"/>
  <c r="AK10" i="7" s="1"/>
  <c r="AK11" i="7" s="1"/>
  <c r="AK12" i="7" s="1"/>
  <c r="AK13" i="7" s="1"/>
  <c r="AK14" i="7" s="1"/>
  <c r="AK15" i="7" s="1"/>
  <c r="AK16" i="7" s="1"/>
  <c r="AK17" i="7" s="1"/>
  <c r="AK18" i="7" s="1"/>
  <c r="AK19" i="7" s="1"/>
  <c r="AK20" i="7" s="1"/>
  <c r="AK21" i="7" s="1"/>
  <c r="AK22" i="7" s="1"/>
  <c r="AK23" i="7" s="1"/>
  <c r="AK24" i="7" s="1"/>
  <c r="AK25" i="7" s="1"/>
  <c r="AK26" i="7" s="1"/>
  <c r="AK27" i="7" s="1"/>
  <c r="Z3" i="7"/>
  <c r="Z4" i="7" s="1"/>
  <c r="Z5" i="7" s="1"/>
  <c r="Z6" i="7" s="1"/>
  <c r="Z7" i="7" s="1"/>
  <c r="Z8" i="7" s="1"/>
  <c r="Z9" i="7" s="1"/>
  <c r="Z10" i="7" s="1"/>
  <c r="Z11" i="7" s="1"/>
  <c r="Z12" i="7" s="1"/>
  <c r="Z13" i="7" s="1"/>
  <c r="Z14" i="7" s="1"/>
  <c r="Z15" i="7" s="1"/>
  <c r="Z16" i="7" s="1"/>
  <c r="Z17" i="7" s="1"/>
  <c r="Z18" i="7" s="1"/>
  <c r="Z19" i="7" s="1"/>
  <c r="Z20" i="7" s="1"/>
  <c r="Z21" i="7" s="1"/>
  <c r="Z22" i="7" s="1"/>
  <c r="Z23" i="7" s="1"/>
  <c r="Z24" i="7" s="1"/>
  <c r="Z25" i="7" s="1"/>
  <c r="Z26" i="7" s="1"/>
  <c r="Z27" i="7" s="1"/>
  <c r="O3" i="7"/>
  <c r="O4" i="7" s="1"/>
  <c r="O5" i="7" s="1"/>
  <c r="O6" i="7" s="1"/>
  <c r="O7" i="7" s="1"/>
  <c r="O8" i="7" s="1"/>
  <c r="O9" i="7" s="1"/>
  <c r="O10" i="7" s="1"/>
  <c r="O11" i="7" s="1"/>
  <c r="O12" i="7" s="1"/>
  <c r="O13" i="7" s="1"/>
  <c r="O14" i="7" s="1"/>
  <c r="O15" i="7" s="1"/>
  <c r="O16" i="7" s="1"/>
  <c r="O17" i="7" s="1"/>
  <c r="O18" i="7" s="1"/>
  <c r="O19" i="7" s="1"/>
  <c r="O20" i="7" s="1"/>
  <c r="O21" i="7" s="1"/>
  <c r="O23" i="7" s="1"/>
  <c r="O24" i="7" s="1"/>
  <c r="O25" i="7" s="1"/>
  <c r="O26" i="7" s="1"/>
  <c r="O27" i="7" s="1"/>
  <c r="D3" i="7"/>
  <c r="B3" i="7"/>
  <c r="A4" i="7" s="1"/>
  <c r="D7" i="6"/>
  <c r="D8" i="6"/>
  <c r="D9" i="6"/>
  <c r="D10" i="6"/>
  <c r="D11" i="6"/>
  <c r="D12" i="6"/>
  <c r="D13" i="6"/>
  <c r="D14" i="6"/>
  <c r="D15" i="6"/>
  <c r="D4" i="10" l="1"/>
  <c r="B4" i="10"/>
  <c r="A5" i="10" s="1"/>
  <c r="D4" i="9"/>
  <c r="B4" i="9"/>
  <c r="A5" i="9" s="1"/>
  <c r="D4" i="8"/>
  <c r="B4" i="8"/>
  <c r="A5" i="8" s="1"/>
  <c r="D4" i="7"/>
  <c r="B4" i="7"/>
  <c r="A5" i="7" s="1"/>
  <c r="AV3" i="6"/>
  <c r="AV4" i="6" s="1"/>
  <c r="AV5" i="6" s="1"/>
  <c r="AV6" i="6" s="1"/>
  <c r="AV7" i="6" s="1"/>
  <c r="AV8" i="6" s="1"/>
  <c r="AV9" i="6" s="1"/>
  <c r="AV10" i="6" s="1"/>
  <c r="AV11" i="6" s="1"/>
  <c r="AV12" i="6" s="1"/>
  <c r="AV13" i="6" s="1"/>
  <c r="AV14" i="6" s="1"/>
  <c r="AV15" i="6" s="1"/>
  <c r="AV16" i="6" s="1"/>
  <c r="AV17" i="6" s="1"/>
  <c r="AV18" i="6" s="1"/>
  <c r="AV19" i="6" s="1"/>
  <c r="AV20" i="6" s="1"/>
  <c r="AV21" i="6" s="1"/>
  <c r="AV22" i="6" s="1"/>
  <c r="AV23" i="6" s="1"/>
  <c r="AV24" i="6" s="1"/>
  <c r="AV25" i="6" s="1"/>
  <c r="AK3" i="6"/>
  <c r="AK4" i="6" s="1"/>
  <c r="AK5" i="6" s="1"/>
  <c r="AK6" i="6" s="1"/>
  <c r="AK7" i="6" s="1"/>
  <c r="AK8" i="6" s="1"/>
  <c r="AK9" i="6" s="1"/>
  <c r="AK10" i="6" s="1"/>
  <c r="AK11" i="6" s="1"/>
  <c r="AK12" i="6" s="1"/>
  <c r="AK13" i="6" s="1"/>
  <c r="AK14" i="6" s="1"/>
  <c r="AK15" i="6" s="1"/>
  <c r="AK16" i="6" s="1"/>
  <c r="AK17" i="6" s="1"/>
  <c r="AK18" i="6" s="1"/>
  <c r="AK19" i="6" s="1"/>
  <c r="AK20" i="6" s="1"/>
  <c r="AK21" i="6" s="1"/>
  <c r="AK22" i="6" s="1"/>
  <c r="AK23" i="6" s="1"/>
  <c r="Z3" i="6"/>
  <c r="Z4" i="6" s="1"/>
  <c r="Z5" i="6" s="1"/>
  <c r="Z6" i="6" s="1"/>
  <c r="Z7" i="6" s="1"/>
  <c r="Z8" i="6" s="1"/>
  <c r="Z9" i="6" s="1"/>
  <c r="Z10" i="6" s="1"/>
  <c r="Z11" i="6" s="1"/>
  <c r="Z12" i="6" s="1"/>
  <c r="Z13" i="6" s="1"/>
  <c r="Z14" i="6" s="1"/>
  <c r="Z15" i="6" s="1"/>
  <c r="Z16" i="6" s="1"/>
  <c r="Z17" i="6" s="1"/>
  <c r="O3" i="6"/>
  <c r="O4" i="6" s="1"/>
  <c r="O5" i="6" s="1"/>
  <c r="O6" i="6" s="1"/>
  <c r="O7" i="6" s="1"/>
  <c r="O8" i="6" s="1"/>
  <c r="O9" i="6" s="1"/>
  <c r="O10" i="6" s="1"/>
  <c r="O11" i="6" s="1"/>
  <c r="O12" i="6" s="1"/>
  <c r="O13" i="6" s="1"/>
  <c r="O14" i="6" s="1"/>
  <c r="O15" i="6" s="1"/>
  <c r="O16" i="6" s="1"/>
  <c r="O17" i="6" s="1"/>
  <c r="O18" i="6" s="1"/>
  <c r="O19" i="6" s="1"/>
  <c r="O20" i="6" s="1"/>
  <c r="O21" i="6" s="1"/>
  <c r="D3" i="6"/>
  <c r="B3" i="6"/>
  <c r="A4" i="6" s="1"/>
  <c r="AV3" i="5"/>
  <c r="AV4" i="5" s="1"/>
  <c r="AV5" i="5" s="1"/>
  <c r="AV6" i="5" s="1"/>
  <c r="AV7" i="5" s="1"/>
  <c r="AV8" i="5" s="1"/>
  <c r="AV9" i="5" s="1"/>
  <c r="AV10" i="5" s="1"/>
  <c r="AV11" i="5" s="1"/>
  <c r="AV12" i="5" s="1"/>
  <c r="AV13" i="5" s="1"/>
  <c r="AV14" i="5" s="1"/>
  <c r="AV15" i="5" s="1"/>
  <c r="AV16" i="5" s="1"/>
  <c r="AV17" i="5" s="1"/>
  <c r="AV18" i="5" s="1"/>
  <c r="AV19" i="5" s="1"/>
  <c r="AV20" i="5" s="1"/>
  <c r="AV21" i="5" s="1"/>
  <c r="AV22" i="5" s="1"/>
  <c r="AV23" i="5" s="1"/>
  <c r="AV24" i="5" s="1"/>
  <c r="AV25" i="5" s="1"/>
  <c r="AV26" i="5" s="1"/>
  <c r="AV27" i="5" s="1"/>
  <c r="AK3" i="5"/>
  <c r="AK4" i="5" s="1"/>
  <c r="AK5" i="5" s="1"/>
  <c r="AK6" i="5" s="1"/>
  <c r="AK7" i="5" s="1"/>
  <c r="AK8" i="5" s="1"/>
  <c r="AK9" i="5" s="1"/>
  <c r="AK10" i="5" s="1"/>
  <c r="AK11" i="5" s="1"/>
  <c r="AK12" i="5" s="1"/>
  <c r="AK13" i="5" s="1"/>
  <c r="AK14" i="5" s="1"/>
  <c r="AK15" i="5" s="1"/>
  <c r="AK16" i="5" s="1"/>
  <c r="AK17" i="5" s="1"/>
  <c r="AK18" i="5" s="1"/>
  <c r="AK19" i="5" s="1"/>
  <c r="AK20" i="5" s="1"/>
  <c r="AK21" i="5" s="1"/>
  <c r="AK22" i="5" s="1"/>
  <c r="AK23" i="5" s="1"/>
  <c r="AK24" i="5" s="1"/>
  <c r="AK25" i="5" s="1"/>
  <c r="AK26" i="5" s="1"/>
  <c r="AK27" i="5" s="1"/>
  <c r="Z3" i="5"/>
  <c r="Z4" i="5" s="1"/>
  <c r="Z5" i="5" s="1"/>
  <c r="Z6" i="5" s="1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O3" i="5"/>
  <c r="O4" i="5" s="1"/>
  <c r="O5" i="5" s="1"/>
  <c r="O6" i="5" s="1"/>
  <c r="O7" i="5" s="1"/>
  <c r="O8" i="5" s="1"/>
  <c r="O9" i="5" s="1"/>
  <c r="O10" i="5" s="1"/>
  <c r="O11" i="5" s="1"/>
  <c r="O12" i="5" s="1"/>
  <c r="O13" i="5" s="1"/>
  <c r="O14" i="5" s="1"/>
  <c r="O15" i="5" s="1"/>
  <c r="O16" i="5" s="1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D3" i="5"/>
  <c r="B3" i="5"/>
  <c r="A4" i="5" s="1"/>
  <c r="D5" i="10" l="1"/>
  <c r="B5" i="10"/>
  <c r="A6" i="10" s="1"/>
  <c r="D5" i="9"/>
  <c r="B5" i="9"/>
  <c r="A6" i="9" s="1"/>
  <c r="D5" i="8"/>
  <c r="B5" i="8"/>
  <c r="A6" i="8" s="1"/>
  <c r="D5" i="7"/>
  <c r="B5" i="7"/>
  <c r="A6" i="7" s="1"/>
  <c r="O22" i="6"/>
  <c r="O23" i="6" s="1"/>
  <c r="O24" i="6" s="1"/>
  <c r="O25" i="6" s="1"/>
  <c r="O26" i="6" s="1"/>
  <c r="O27" i="6" s="1"/>
  <c r="AV26" i="6"/>
  <c r="AV27" i="6" s="1"/>
  <c r="AK24" i="6"/>
  <c r="AK25" i="6" s="1"/>
  <c r="Z18" i="6"/>
  <c r="Z19" i="6" s="1"/>
  <c r="Z20" i="6" s="1"/>
  <c r="Z21" i="6" s="1"/>
  <c r="Z22" i="6" s="1"/>
  <c r="Z23" i="6" s="1"/>
  <c r="Z24" i="6" s="1"/>
  <c r="Z25" i="6" s="1"/>
  <c r="D4" i="6"/>
  <c r="B4" i="6"/>
  <c r="A5" i="6" s="1"/>
  <c r="D4" i="5"/>
  <c r="B4" i="5"/>
  <c r="A5" i="5" s="1"/>
  <c r="D6" i="10" l="1"/>
  <c r="B6" i="10"/>
  <c r="A7" i="10" s="1"/>
  <c r="B6" i="9"/>
  <c r="A7" i="9" s="1"/>
  <c r="D6" i="9"/>
  <c r="D6" i="8"/>
  <c r="B6" i="8"/>
  <c r="A7" i="8" s="1"/>
  <c r="D6" i="7"/>
  <c r="B6" i="7"/>
  <c r="A7" i="7" s="1"/>
  <c r="Z26" i="6"/>
  <c r="Z27" i="6" s="1"/>
  <c r="AK26" i="6"/>
  <c r="AK27" i="6" s="1"/>
  <c r="D5" i="6"/>
  <c r="B5" i="6"/>
  <c r="A6" i="6" s="1"/>
  <c r="D5" i="5"/>
  <c r="B5" i="5"/>
  <c r="A6" i="5" s="1"/>
  <c r="D7" i="10" l="1"/>
  <c r="B7" i="10"/>
  <c r="A8" i="10" s="1"/>
  <c r="D7" i="9"/>
  <c r="B7" i="9"/>
  <c r="A8" i="9" s="1"/>
  <c r="D7" i="8"/>
  <c r="B7" i="8"/>
  <c r="A8" i="8" s="1"/>
  <c r="B7" i="7"/>
  <c r="A8" i="7" s="1"/>
  <c r="D7" i="7"/>
  <c r="D6" i="6"/>
  <c r="B6" i="6"/>
  <c r="A7" i="6" s="1"/>
  <c r="D6" i="5"/>
  <c r="B6" i="5"/>
  <c r="A7" i="5" s="1"/>
  <c r="D8" i="10" l="1"/>
  <c r="B8" i="10"/>
  <c r="A9" i="10" s="1"/>
  <c r="D8" i="9"/>
  <c r="B8" i="9"/>
  <c r="A9" i="9" s="1"/>
  <c r="D8" i="8"/>
  <c r="B8" i="8"/>
  <c r="A9" i="8" s="1"/>
  <c r="D8" i="7"/>
  <c r="B8" i="7"/>
  <c r="A9" i="7" s="1"/>
  <c r="B7" i="6"/>
  <c r="A8" i="6" s="1"/>
  <c r="B7" i="5"/>
  <c r="A8" i="5" s="1"/>
  <c r="D7" i="5"/>
  <c r="B9" i="10" l="1"/>
  <c r="A10" i="10" s="1"/>
  <c r="D9" i="10"/>
  <c r="B9" i="9"/>
  <c r="A10" i="9" s="1"/>
  <c r="D9" i="9"/>
  <c r="D9" i="8"/>
  <c r="B9" i="8"/>
  <c r="A10" i="8" s="1"/>
  <c r="D9" i="7"/>
  <c r="B9" i="7"/>
  <c r="A10" i="7" s="1"/>
  <c r="B8" i="6"/>
  <c r="A9" i="6" s="1"/>
  <c r="D8" i="5"/>
  <c r="B8" i="5"/>
  <c r="A9" i="5" s="1"/>
  <c r="D10" i="10" l="1"/>
  <c r="B10" i="10"/>
  <c r="A11" i="10" s="1"/>
  <c r="D10" i="9"/>
  <c r="B10" i="9"/>
  <c r="A11" i="9" s="1"/>
  <c r="D10" i="8"/>
  <c r="B10" i="8"/>
  <c r="A11" i="8" s="1"/>
  <c r="D10" i="7"/>
  <c r="B10" i="7"/>
  <c r="A11" i="7" s="1"/>
  <c r="B9" i="6"/>
  <c r="A10" i="6" s="1"/>
  <c r="D9" i="5"/>
  <c r="B9" i="5"/>
  <c r="A10" i="5" s="1"/>
  <c r="D11" i="10" l="1"/>
  <c r="B11" i="10"/>
  <c r="A12" i="10" s="1"/>
  <c r="D11" i="9"/>
  <c r="B11" i="9"/>
  <c r="A12" i="9" s="1"/>
  <c r="D11" i="8"/>
  <c r="B11" i="8"/>
  <c r="A12" i="8" s="1"/>
  <c r="D11" i="7"/>
  <c r="B11" i="7"/>
  <c r="A12" i="7" s="1"/>
  <c r="B10" i="6"/>
  <c r="A11" i="6" s="1"/>
  <c r="B10" i="5"/>
  <c r="A11" i="5" s="1"/>
  <c r="D10" i="5"/>
  <c r="B12" i="10" l="1"/>
  <c r="A13" i="10" s="1"/>
  <c r="D12" i="10"/>
  <c r="D12" i="9"/>
  <c r="B12" i="9"/>
  <c r="A13" i="9" s="1"/>
  <c r="B12" i="8"/>
  <c r="A13" i="8" s="1"/>
  <c r="D12" i="8"/>
  <c r="D12" i="7"/>
  <c r="B12" i="7"/>
  <c r="A13" i="7" s="1"/>
  <c r="B11" i="6"/>
  <c r="A12" i="6" s="1"/>
  <c r="D11" i="5"/>
  <c r="B11" i="5"/>
  <c r="A12" i="5" s="1"/>
  <c r="D13" i="10" l="1"/>
  <c r="B13" i="10"/>
  <c r="A14" i="10" s="1"/>
  <c r="D13" i="9"/>
  <c r="B13" i="9"/>
  <c r="A14" i="9" s="1"/>
  <c r="B13" i="8"/>
  <c r="A14" i="8" s="1"/>
  <c r="D13" i="8"/>
  <c r="D13" i="7"/>
  <c r="B13" i="7"/>
  <c r="A14" i="7" s="1"/>
  <c r="B12" i="6"/>
  <c r="A13" i="6" s="1"/>
  <c r="B12" i="5"/>
  <c r="A13" i="5" s="1"/>
  <c r="D12" i="5"/>
  <c r="D14" i="10" l="1"/>
  <c r="B14" i="10"/>
  <c r="A15" i="10" s="1"/>
  <c r="D14" i="9"/>
  <c r="B14" i="9"/>
  <c r="A15" i="9" s="1"/>
  <c r="D14" i="8"/>
  <c r="B14" i="8"/>
  <c r="A15" i="8" s="1"/>
  <c r="D14" i="7"/>
  <c r="B14" i="7"/>
  <c r="A15" i="7" s="1"/>
  <c r="B13" i="6"/>
  <c r="A14" i="6" s="1"/>
  <c r="D13" i="5"/>
  <c r="B13" i="5"/>
  <c r="A14" i="5" s="1"/>
  <c r="D15" i="10" l="1"/>
  <c r="B15" i="10"/>
  <c r="A16" i="10" s="1"/>
  <c r="D15" i="9"/>
  <c r="B15" i="9"/>
  <c r="A16" i="9" s="1"/>
  <c r="D15" i="8"/>
  <c r="B15" i="8"/>
  <c r="A16" i="8" s="1"/>
  <c r="D15" i="7"/>
  <c r="B15" i="7"/>
  <c r="A16" i="7" s="1"/>
  <c r="B14" i="6"/>
  <c r="A15" i="6" s="1"/>
  <c r="D14" i="5"/>
  <c r="B14" i="5"/>
  <c r="A15" i="5" s="1"/>
  <c r="B16" i="10" l="1"/>
  <c r="A17" i="10" s="1"/>
  <c r="D16" i="10"/>
  <c r="D16" i="9"/>
  <c r="B16" i="9"/>
  <c r="A17" i="9" s="1"/>
  <c r="D16" i="8"/>
  <c r="B16" i="8"/>
  <c r="A17" i="8" s="1"/>
  <c r="D16" i="7"/>
  <c r="B16" i="7"/>
  <c r="A17" i="7" s="1"/>
  <c r="B15" i="6"/>
  <c r="A16" i="6" s="1"/>
  <c r="D15" i="5"/>
  <c r="B15" i="5"/>
  <c r="A16" i="5" s="1"/>
  <c r="B17" i="10" l="1"/>
  <c r="A18" i="10" s="1"/>
  <c r="D17" i="10"/>
  <c r="D17" i="9"/>
  <c r="B17" i="9"/>
  <c r="A18" i="9" s="1"/>
  <c r="D17" i="8"/>
  <c r="B17" i="8"/>
  <c r="A18" i="8" s="1"/>
  <c r="D17" i="7"/>
  <c r="B17" i="7"/>
  <c r="A18" i="7" s="1"/>
  <c r="D16" i="6"/>
  <c r="B16" i="6"/>
  <c r="A17" i="6" s="1"/>
  <c r="B16" i="5"/>
  <c r="A17" i="5" s="1"/>
  <c r="D16" i="5"/>
  <c r="D18" i="10" l="1"/>
  <c r="B18" i="10"/>
  <c r="A19" i="10" s="1"/>
  <c r="D18" i="9"/>
  <c r="B18" i="9"/>
  <c r="A19" i="9" s="1"/>
  <c r="D18" i="8"/>
  <c r="B18" i="8"/>
  <c r="A19" i="8" s="1"/>
  <c r="B18" i="7"/>
  <c r="A19" i="7" s="1"/>
  <c r="D18" i="7"/>
  <c r="D17" i="6"/>
  <c r="B17" i="6"/>
  <c r="A18" i="6" s="1"/>
  <c r="D17" i="5"/>
  <c r="B17" i="5"/>
  <c r="A18" i="5" s="1"/>
  <c r="B19" i="10" l="1"/>
  <c r="A20" i="10" s="1"/>
  <c r="D19" i="10"/>
  <c r="D19" i="9"/>
  <c r="B19" i="9"/>
  <c r="A20" i="9" s="1"/>
  <c r="D19" i="8"/>
  <c r="B19" i="8"/>
  <c r="A20" i="8" s="1"/>
  <c r="B19" i="7"/>
  <c r="A20" i="7" s="1"/>
  <c r="D19" i="7"/>
  <c r="D18" i="6"/>
  <c r="B18" i="6"/>
  <c r="A19" i="6" s="1"/>
  <c r="D18" i="5"/>
  <c r="B18" i="5"/>
  <c r="A19" i="5" s="1"/>
  <c r="D20" i="10" l="1"/>
  <c r="B20" i="10"/>
  <c r="A21" i="10" s="1"/>
  <c r="D20" i="9"/>
  <c r="B20" i="9"/>
  <c r="A21" i="9" s="1"/>
  <c r="D20" i="8"/>
  <c r="B20" i="8"/>
  <c r="A21" i="8" s="1"/>
  <c r="B20" i="7"/>
  <c r="A21" i="7" s="1"/>
  <c r="D20" i="7"/>
  <c r="B19" i="6"/>
  <c r="A20" i="6" s="1"/>
  <c r="D19" i="6"/>
  <c r="D19" i="5"/>
  <c r="B19" i="5"/>
  <c r="A20" i="5" s="1"/>
  <c r="B21" i="10" l="1"/>
  <c r="A22" i="10" s="1"/>
  <c r="D21" i="10"/>
  <c r="D21" i="9"/>
  <c r="B21" i="9"/>
  <c r="A22" i="9" s="1"/>
  <c r="D21" i="8"/>
  <c r="B21" i="8"/>
  <c r="A22" i="8" s="1"/>
  <c r="D21" i="7"/>
  <c r="B21" i="7"/>
  <c r="A22" i="7" s="1"/>
  <c r="D20" i="6"/>
  <c r="B20" i="6"/>
  <c r="A21" i="6" s="1"/>
  <c r="D20" i="5"/>
  <c r="B20" i="5"/>
  <c r="A21" i="5" s="1"/>
  <c r="D22" i="10" l="1"/>
  <c r="B22" i="10"/>
  <c r="A23" i="10" s="1"/>
  <c r="D22" i="9"/>
  <c r="B22" i="9"/>
  <c r="A23" i="9" s="1"/>
  <c r="D22" i="8"/>
  <c r="B22" i="8"/>
  <c r="A23" i="8" s="1"/>
  <c r="D22" i="7"/>
  <c r="B22" i="7"/>
  <c r="A23" i="7" s="1"/>
  <c r="D21" i="6"/>
  <c r="B21" i="6"/>
  <c r="A22" i="6" s="1"/>
  <c r="D21" i="5"/>
  <c r="B21" i="5"/>
  <c r="A22" i="5" s="1"/>
  <c r="D23" i="10" l="1"/>
  <c r="B23" i="10"/>
  <c r="A24" i="10" s="1"/>
  <c r="D23" i="9"/>
  <c r="B23" i="9"/>
  <c r="A24" i="9" s="1"/>
  <c r="D23" i="8"/>
  <c r="B23" i="8"/>
  <c r="A24" i="8" s="1"/>
  <c r="D23" i="7"/>
  <c r="B23" i="7"/>
  <c r="A24" i="7" s="1"/>
  <c r="D22" i="6"/>
  <c r="B22" i="6"/>
  <c r="A23" i="6" s="1"/>
  <c r="B22" i="5"/>
  <c r="A23" i="5" s="1"/>
  <c r="D22" i="5"/>
  <c r="B24" i="10" l="1"/>
  <c r="A25" i="10" s="1"/>
  <c r="D24" i="10"/>
  <c r="B24" i="9"/>
  <c r="A25" i="9" s="1"/>
  <c r="D24" i="9"/>
  <c r="D24" i="8"/>
  <c r="B24" i="8"/>
  <c r="A25" i="8" s="1"/>
  <c r="D24" i="7"/>
  <c r="B24" i="7"/>
  <c r="A25" i="7" s="1"/>
  <c r="D23" i="6"/>
  <c r="B23" i="6"/>
  <c r="A24" i="6" s="1"/>
  <c r="B23" i="5"/>
  <c r="A24" i="5" s="1"/>
  <c r="D23" i="5"/>
  <c r="B25" i="10" l="1"/>
  <c r="A26" i="10" s="1"/>
  <c r="D25" i="10"/>
  <c r="D25" i="9"/>
  <c r="B25" i="9"/>
  <c r="A26" i="9" s="1"/>
  <c r="B25" i="8"/>
  <c r="A26" i="8" s="1"/>
  <c r="D25" i="8"/>
  <c r="D25" i="7"/>
  <c r="B25" i="7"/>
  <c r="A26" i="7" s="1"/>
  <c r="D24" i="6"/>
  <c r="B24" i="6"/>
  <c r="A25" i="6" s="1"/>
  <c r="D24" i="5"/>
  <c r="B24" i="5"/>
  <c r="A25" i="5" s="1"/>
  <c r="D26" i="10" l="1"/>
  <c r="B26" i="10"/>
  <c r="A27" i="10" s="1"/>
  <c r="D26" i="9"/>
  <c r="B26" i="9"/>
  <c r="A27" i="9" s="1"/>
  <c r="D26" i="8"/>
  <c r="B26" i="8"/>
  <c r="A27" i="8" s="1"/>
  <c r="B26" i="7"/>
  <c r="A27" i="7" s="1"/>
  <c r="D26" i="7"/>
  <c r="D25" i="6"/>
  <c r="B25" i="6"/>
  <c r="A26" i="6" s="1"/>
  <c r="B25" i="5"/>
  <c r="A26" i="5" s="1"/>
  <c r="D25" i="5"/>
  <c r="D27" i="10" l="1"/>
  <c r="B27" i="10"/>
  <c r="D27" i="9"/>
  <c r="B27" i="9"/>
  <c r="D27" i="8"/>
  <c r="B27" i="8"/>
  <c r="D27" i="7"/>
  <c r="B27" i="7"/>
  <c r="B26" i="6"/>
  <c r="A27" i="6" s="1"/>
  <c r="D26" i="6"/>
  <c r="B26" i="5"/>
  <c r="A27" i="5" s="1"/>
  <c r="D26" i="5"/>
  <c r="D27" i="6" l="1"/>
  <c r="B27" i="6"/>
  <c r="D27" i="5"/>
  <c r="B2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taillebot.v</author>
    <author>milan.j</author>
  </authors>
  <commentList>
    <comment ref="D5" authorId="0" shapeId="0" xr:uid="{90B76D03-B265-47BC-84BB-230077CF7ABE}">
      <text>
        <r>
          <rPr>
            <b/>
            <sz val="9"/>
            <color indexed="81"/>
            <rFont val="Tahoma"/>
            <family val="2"/>
          </rPr>
          <t>taillebot.v:</t>
        </r>
        <r>
          <rPr>
            <sz val="9"/>
            <color indexed="81"/>
            <rFont val="Tahoma"/>
            <family val="2"/>
          </rPr>
          <t xml:space="preserve">
the draft
</t>
        </r>
      </text>
    </comment>
    <comment ref="AX14" authorId="1" shapeId="0" xr:uid="{8F1A6EB9-48B5-4C17-AD2F-1A30C3B5E436}">
      <text>
        <r>
          <rPr>
            <b/>
            <sz val="9"/>
            <color indexed="81"/>
            <rFont val="Tahoma"/>
            <family val="2"/>
          </rPr>
          <t>milan.j: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15" authorId="1" shapeId="0" xr:uid="{AA4E7F1E-DA39-4F39-B71A-221CDDD1E2B4}">
      <text>
        <r>
          <rPr>
            <b/>
            <sz val="9"/>
            <color indexed="81"/>
            <rFont val="Tahoma"/>
            <family val="2"/>
          </rPr>
          <t>milan.j: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16" authorId="1" shapeId="0" xr:uid="{CE444996-F254-48E1-8C1C-01BE59BE8855}">
      <text>
        <r>
          <rPr>
            <b/>
            <sz val="9"/>
            <color indexed="81"/>
            <rFont val="Tahoma"/>
            <family val="2"/>
          </rPr>
          <t>milan.j: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17" authorId="1" shapeId="0" xr:uid="{CECCFD66-9262-4CA3-8D4E-C0F189754EC4}">
      <text>
        <r>
          <rPr>
            <b/>
            <sz val="9"/>
            <color indexed="81"/>
            <rFont val="Tahoma"/>
            <family val="2"/>
          </rPr>
          <t>milan.j: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18" authorId="1" shapeId="0" xr:uid="{D33E7AD5-FD26-4F5F-8E3D-2F5158A123D9}">
      <text>
        <r>
          <rPr>
            <b/>
            <sz val="9"/>
            <color indexed="81"/>
            <rFont val="Tahoma"/>
            <family val="2"/>
          </rPr>
          <t>milan.j: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19" authorId="1" shapeId="0" xr:uid="{560302C0-DE7A-4BD5-AFA5-482F67F70E73}">
      <text>
        <r>
          <rPr>
            <b/>
            <sz val="9"/>
            <color indexed="81"/>
            <rFont val="Tahoma"/>
            <family val="2"/>
          </rPr>
          <t>milan.j: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taillebot.v</author>
    <author>milan.j</author>
  </authors>
  <commentList>
    <comment ref="D5" authorId="0" shapeId="0" xr:uid="{8BFB9E64-FC86-4CB2-A32C-D6B649730C16}">
      <text>
        <r>
          <rPr>
            <b/>
            <sz val="9"/>
            <color indexed="81"/>
            <rFont val="Tahoma"/>
            <family val="2"/>
          </rPr>
          <t>taillebot.v:</t>
        </r>
        <r>
          <rPr>
            <sz val="9"/>
            <color indexed="81"/>
            <rFont val="Tahoma"/>
            <family val="2"/>
          </rPr>
          <t xml:space="preserve">
the draft
</t>
        </r>
      </text>
    </comment>
    <comment ref="AX14" authorId="1" shapeId="0" xr:uid="{AB161422-E33C-4D40-88D2-1D512F165BCE}">
      <text>
        <r>
          <rPr>
            <b/>
            <sz val="9"/>
            <color indexed="81"/>
            <rFont val="Tahoma"/>
            <family val="2"/>
          </rPr>
          <t>milan.j: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15" authorId="1" shapeId="0" xr:uid="{CD0933E8-94D6-4194-9FA6-80F21204D20E}">
      <text>
        <r>
          <rPr>
            <b/>
            <sz val="9"/>
            <color indexed="81"/>
            <rFont val="Tahoma"/>
            <family val="2"/>
          </rPr>
          <t>milan.j: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16" authorId="1" shapeId="0" xr:uid="{DF0C2366-4D5F-4EE1-8F03-A46B92A65C1A}">
      <text>
        <r>
          <rPr>
            <b/>
            <sz val="9"/>
            <color indexed="81"/>
            <rFont val="Tahoma"/>
            <family val="2"/>
          </rPr>
          <t>milan.j: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17" authorId="1" shapeId="0" xr:uid="{765B2765-9D10-411A-BD54-7BAF80CADD3A}">
      <text>
        <r>
          <rPr>
            <b/>
            <sz val="9"/>
            <color indexed="81"/>
            <rFont val="Tahoma"/>
            <family val="2"/>
          </rPr>
          <t>milan.j: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18" authorId="1" shapeId="0" xr:uid="{F9909E26-7842-4EDE-9F41-D09615281CB9}">
      <text>
        <r>
          <rPr>
            <b/>
            <sz val="9"/>
            <color indexed="81"/>
            <rFont val="Tahoma"/>
            <family val="2"/>
          </rPr>
          <t>milan.j: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19" authorId="1" shapeId="0" xr:uid="{3FB84DBA-8D53-4860-ADA2-6C8BBFF6B231}">
      <text>
        <r>
          <rPr>
            <b/>
            <sz val="9"/>
            <color indexed="81"/>
            <rFont val="Tahoma"/>
            <family val="2"/>
          </rPr>
          <t>milan.j: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taillebot.v</author>
    <author>milan.j</author>
  </authors>
  <commentList>
    <comment ref="D5" authorId="0" shapeId="0" xr:uid="{7D6AB46C-8610-4911-B484-0F7537FC5E04}">
      <text>
        <r>
          <rPr>
            <b/>
            <sz val="9"/>
            <color indexed="81"/>
            <rFont val="Tahoma"/>
            <family val="2"/>
          </rPr>
          <t>taillebot.v:</t>
        </r>
        <r>
          <rPr>
            <sz val="9"/>
            <color indexed="81"/>
            <rFont val="Tahoma"/>
            <family val="2"/>
          </rPr>
          <t xml:space="preserve">
the draft
</t>
        </r>
      </text>
    </comment>
    <comment ref="AX14" authorId="1" shapeId="0" xr:uid="{7CA0BC9B-C388-49E3-AEA2-66FC69F57F55}">
      <text>
        <r>
          <rPr>
            <b/>
            <sz val="9"/>
            <color indexed="81"/>
            <rFont val="Tahoma"/>
            <family val="2"/>
          </rPr>
          <t>milan.j: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15" authorId="1" shapeId="0" xr:uid="{F8745702-B61F-4D42-A560-A06280FB8007}">
      <text>
        <r>
          <rPr>
            <b/>
            <sz val="9"/>
            <color indexed="81"/>
            <rFont val="Tahoma"/>
            <family val="2"/>
          </rPr>
          <t>milan.j: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taillebot.v</author>
    <author>milan.j</author>
  </authors>
  <commentList>
    <comment ref="D5" authorId="0" shapeId="0" xr:uid="{8B28D010-6B6F-4B6F-BA3E-FFA3EBDD1AC6}">
      <text>
        <r>
          <rPr>
            <b/>
            <sz val="9"/>
            <color indexed="81"/>
            <rFont val="Tahoma"/>
            <family val="2"/>
          </rPr>
          <t>taillebot.v:</t>
        </r>
        <r>
          <rPr>
            <sz val="9"/>
            <color indexed="81"/>
            <rFont val="Tahoma"/>
            <family val="2"/>
          </rPr>
          <t xml:space="preserve">
the draft
</t>
        </r>
      </text>
    </comment>
    <comment ref="AX14" authorId="1" shapeId="0" xr:uid="{A73F289C-47DC-4C3A-8CA2-C4DA1FF7E71B}">
      <text>
        <r>
          <rPr>
            <b/>
            <sz val="9"/>
            <color indexed="81"/>
            <rFont val="Tahoma"/>
            <family val="2"/>
          </rPr>
          <t>milan.j: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15" authorId="1" shapeId="0" xr:uid="{0645E279-F3C0-4613-AA3C-80A90A568E39}">
      <text>
        <r>
          <rPr>
            <b/>
            <sz val="9"/>
            <color indexed="81"/>
            <rFont val="Tahoma"/>
            <family val="2"/>
          </rPr>
          <t>milan.j: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taillebot.v</author>
    <author>milan.j</author>
  </authors>
  <commentList>
    <comment ref="D5" authorId="0" shapeId="0" xr:uid="{EC68EC38-2DB3-4715-8FA6-7943405B314F}">
      <text>
        <r>
          <rPr>
            <b/>
            <sz val="9"/>
            <color indexed="81"/>
            <rFont val="Tahoma"/>
            <family val="2"/>
          </rPr>
          <t>taillebot.v:</t>
        </r>
        <r>
          <rPr>
            <sz val="9"/>
            <color indexed="81"/>
            <rFont val="Tahoma"/>
            <family val="2"/>
          </rPr>
          <t xml:space="preserve">
the draft
</t>
        </r>
      </text>
    </comment>
    <comment ref="AW14" authorId="1" shapeId="0" xr:uid="{DB05E030-C72D-4979-939F-183397E0B923}">
      <text>
        <r>
          <rPr>
            <b/>
            <sz val="9"/>
            <color indexed="81"/>
            <rFont val="Tahoma"/>
            <family val="2"/>
          </rPr>
          <t>milan.j: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14" authorId="1" shapeId="0" xr:uid="{12C8E315-4A06-406A-A8D4-94EC23B8A6B3}">
      <text>
        <r>
          <rPr>
            <b/>
            <sz val="9"/>
            <color indexed="81"/>
            <rFont val="Tahoma"/>
            <family val="2"/>
          </rPr>
          <t>milan.j: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15" authorId="1" shapeId="0" xr:uid="{36AE68CC-3CDF-492A-B775-E4F28819497D}">
      <text>
        <r>
          <rPr>
            <b/>
            <sz val="9"/>
            <color indexed="81"/>
            <rFont val="Tahoma"/>
            <family val="2"/>
          </rPr>
          <t>milan.j: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taillebot.v</author>
    <author>milan.j</author>
  </authors>
  <commentList>
    <comment ref="D5" authorId="0" shapeId="0" xr:uid="{1B541728-3F9D-4A41-8A01-90B8110BDCE0}">
      <text>
        <r>
          <rPr>
            <b/>
            <sz val="9"/>
            <color indexed="81"/>
            <rFont val="Tahoma"/>
            <family val="2"/>
          </rPr>
          <t>taillebot.v:</t>
        </r>
        <r>
          <rPr>
            <sz val="9"/>
            <color indexed="81"/>
            <rFont val="Tahoma"/>
            <family val="2"/>
          </rPr>
          <t xml:space="preserve">
the draft
</t>
        </r>
      </text>
    </comment>
    <comment ref="AW14" authorId="1" shapeId="0" xr:uid="{AA742578-9AB3-4948-BA47-7A08A36F0ACB}">
      <text>
        <r>
          <rPr>
            <b/>
            <sz val="9"/>
            <color indexed="81"/>
            <rFont val="Tahoma"/>
            <family val="2"/>
          </rPr>
          <t>milan.j: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7" authorId="1" shapeId="0" xr:uid="{9E7C3ADA-7B1B-4399-B727-CB501BF666B7}">
      <text>
        <r>
          <rPr>
            <b/>
            <sz val="9"/>
            <color indexed="81"/>
            <rFont val="Tahoma"/>
            <family val="2"/>
          </rPr>
          <t>milan.j: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<sst xmlns="http://schemas.openxmlformats.org/spreadsheetml/2006/main" count="2217" uniqueCount="261">
  <si>
    <t>Lundi</t>
  </si>
  <si>
    <t>Mardi</t>
  </si>
  <si>
    <t>Mercredi</t>
  </si>
  <si>
    <t>Jeudi</t>
  </si>
  <si>
    <t>Vendredi</t>
  </si>
  <si>
    <t>DATE</t>
  </si>
  <si>
    <t>cours communs ECM + Polytech + BTI</t>
  </si>
  <si>
    <t xml:space="preserve"> Polytech + BTI</t>
  </si>
  <si>
    <t>ECM + BTI</t>
  </si>
  <si>
    <t>BTI seuls</t>
  </si>
  <si>
    <t>férié / congès</t>
  </si>
  <si>
    <t>Rentrée M2</t>
  </si>
  <si>
    <t xml:space="preserve">M1 BTI et autres parcours </t>
  </si>
  <si>
    <t>EXAMENS</t>
  </si>
  <si>
    <t>EXAMEN</t>
  </si>
  <si>
    <t>période bloquée ECM</t>
  </si>
  <si>
    <t>8h-9h</t>
  </si>
  <si>
    <t>9h-10h</t>
  </si>
  <si>
    <t>10h-11h</t>
  </si>
  <si>
    <t>11h-12h</t>
  </si>
  <si>
    <t>13h-14h</t>
  </si>
  <si>
    <t>14h-15h</t>
  </si>
  <si>
    <t>15h-16h</t>
  </si>
  <si>
    <t>16h-17h</t>
  </si>
  <si>
    <t>12h-13h</t>
  </si>
  <si>
    <t>17h-18h</t>
  </si>
  <si>
    <t>ok</t>
  </si>
  <si>
    <t>Mécanique des Fluides 
Julien SERRES 
(Locaux GIBOC Hôpital Ste Marguerite)</t>
  </si>
  <si>
    <t>Physique des Biomatériaux 
Virginie TAILLEBOT (Locaux Giboc Hôpital Ste Marguerite)</t>
  </si>
  <si>
    <t>Exemple d'un implant 
Virginie TAILLEBOT 
(Locaux GIBOC Hôpital Ste Marguerite)</t>
  </si>
  <si>
    <t xml:space="preserve">Expérimentations 
Charlotte JEANNEAU 
(Fac Bio Campus St Charles) </t>
  </si>
  <si>
    <t>Analyse &amp; Evaluation de la marche
Pascale CHAVET/ Serge MESURE 
(FSS STAPS Luminy)</t>
  </si>
  <si>
    <t>Anatomie et techniques chirurgicales
Serge MESURE 
(FSS STAPS Luminy)</t>
  </si>
  <si>
    <t>Expérimentation 
Martine PITHIOUX 
(Ecole Centrale - Technopole Château Gombert - salle Méca)</t>
  </si>
  <si>
    <t>Imagerie Médicale et Scientifiques (TP)
Félix RICO 
(TPR2 Campus Luminy)</t>
  </si>
  <si>
    <t>Design CAO 
Jean-Marie ROSSI 
(Ecole Centrale Technopole Château Gombert)</t>
  </si>
  <si>
    <t>Python
 Théophile Kurtz 
(Salles info FSS Luminy)</t>
  </si>
  <si>
    <t>Fabrication Grp 1 
Julien Chaves-Jacob 
(IUT Aix)</t>
  </si>
  <si>
    <t>Fabrication Grp 2
Julien Chaves-Jacob 
(IUT Aix)</t>
  </si>
  <si>
    <t>semaine ECM</t>
  </si>
  <si>
    <t>semaines prises pour ECM</t>
  </si>
  <si>
    <t>Semaine de révisions</t>
  </si>
  <si>
    <t>²</t>
  </si>
  <si>
    <t>SOUTENANCES DES M2 BTI</t>
  </si>
  <si>
    <t>VACANCES FSS</t>
  </si>
  <si>
    <r>
      <rPr>
        <b/>
        <sz val="9"/>
        <rFont val="Arial"/>
        <family val="2"/>
      </rPr>
      <t xml:space="preserve">4 </t>
    </r>
    <r>
      <rPr>
        <sz val="9"/>
        <rFont val="Arial"/>
        <family val="2"/>
        <charset val="1"/>
      </rPr>
      <t>semaines prises pour ECM</t>
    </r>
  </si>
  <si>
    <t>Anatomie et techniques chirurgicales (Chir ortho)
SAE BIOMECA DU SYST OSTEOARTIC
Christophe Jacquet 
(Locaux Giboc Hôpital Ste Marguerite)</t>
  </si>
  <si>
    <t>Biomécanique ostéoarticulaire 
Abdelwahed BARKAOUI 
(Locaux GIBOC Hôpital Ste Marguerite)</t>
  </si>
  <si>
    <t>Biomécanique ostéoarticulaire 
Abdelwahed BARKAOUI
(Locaux GIBOC Hôpital Ste Marguerite)</t>
  </si>
  <si>
    <r>
      <t xml:space="preserve">Biocompatibilité &amp; Bioactivité des Biomatériaux (NanoMatériaux) 
</t>
    </r>
    <r>
      <rPr>
        <b/>
        <sz val="9"/>
        <rFont val="Calibri"/>
        <family val="2"/>
        <scheme val="minor"/>
      </rPr>
      <t>Nadine Candoni</t>
    </r>
    <r>
      <rPr>
        <sz val="9"/>
        <rFont val="Calibri"/>
        <family val="2"/>
        <scheme val="minor"/>
      </rPr>
      <t xml:space="preserve"> 
(Polytech Luminy)</t>
    </r>
  </si>
  <si>
    <r>
      <t xml:space="preserve">Biocompatibilité &amp; Bioactivité des Biomatériaux (NanoMatériaux) 
</t>
    </r>
    <r>
      <rPr>
        <b/>
        <sz val="10"/>
        <rFont val="Calibri"/>
        <family val="2"/>
        <scheme val="minor"/>
      </rPr>
      <t>Nadine Candoni</t>
    </r>
    <r>
      <rPr>
        <sz val="10"/>
        <rFont val="Calibri"/>
        <family val="2"/>
        <scheme val="minor"/>
      </rPr>
      <t xml:space="preserve"> 
(Polytech Luminy)</t>
    </r>
  </si>
  <si>
    <t>Anatomie et techniques chirurgicales (Chir ortho pédiatrique) 
Franck Launay Sainte Marguerite</t>
  </si>
  <si>
    <t>Expérimentation 
Martine PITHIOUX 
sainte-marguerite</t>
  </si>
  <si>
    <t>Imagerie Médicale et Scientifiques 
Thomas Le Corroller
(Giboc Sainte-Marguerite)</t>
  </si>
  <si>
    <t>ferie</t>
  </si>
  <si>
    <t xml:space="preserve">EXAMENS
</t>
  </si>
  <si>
    <t xml:space="preserve">EXAMEN (surveillance S.Mesure ?)
* anatomies et  techniques chirur (staps+centrale)
* biomeca syst osteoart (tout le monde)
</t>
  </si>
  <si>
    <t>EXAMENS (surveillance V. Taillebot ?)
* exemple d'un implant (clinic +staps)
*biotribologie (tout le monde)
* imagerie medicale et scientifique (staps +centrale +clinicien)</t>
  </si>
  <si>
    <t>ok-&gt;</t>
  </si>
  <si>
    <t>&lt;- ok</t>
  </si>
  <si>
    <t>Modélisation numérique
Stéphane Candoni
(Salles info FSS Luminy)</t>
  </si>
  <si>
    <t>Biocompatibilité &amp; Bioactivité des Biomatériaux 
Imad ABOUT 
(Fac Odontologie - Campus Timone - salle 106 -1er étage)</t>
  </si>
  <si>
    <t>1h SAE Mecanobioogie</t>
  </si>
  <si>
    <t>Anatomie et techniques chirurgicales
SAE BIOMECA DU SYST OSTEOART
Serge MESURE 
(FSS STAPS Luminy)</t>
  </si>
  <si>
    <t>Design CAO 
SAE Biomeca du syst osteoartic
Jean-Marie ROSSI 
(Ecole Centrale Technopole Château Gombert)</t>
  </si>
  <si>
    <t>Affaires Règlementaires 
Entreprise NEXIALIST 
(FSS Luminy)</t>
  </si>
  <si>
    <t>Affaires Règlementaires SAE BIOMECA DU SYSTE OSTEOART
Entreprise NEXIALIST 
(FSS Luminy)</t>
  </si>
  <si>
    <t>SAE Suivi de Projet en Modélisation numérique
 Kurtz
(Salles info FSS Luminy)</t>
  </si>
  <si>
    <t>presentation sujets conduite operationnelle de projet ?</t>
  </si>
  <si>
    <t>Biologie cellulaire et tissulaire 
Edouard LAMY 
(Salle 4et aile A Pharma Campus Timone)</t>
  </si>
  <si>
    <t xml:space="preserve">Biologie cellulaire et tissulaire 
Imad ABOUT 
Fac Odonto - Campus Timone - Salle  de Thèse RDC
</t>
  </si>
  <si>
    <t>Biologie cellulaire et tissulaire 
Imad ABOUT 
Fac Odonto - Campus Timone - Salle 107 (1er tage)</t>
  </si>
  <si>
    <t>Biomatériaux:  de la conception au dvpt industriel 
SAE Mecanobiologie
Imad ABOUT  
Fac Odonto - Campus Timone, salle 106 1er etage</t>
  </si>
  <si>
    <t>Biologie cellulaire et tissulaire 
Claire CAMY 
(Salle 4et aile A Pharma Campus Timone )</t>
  </si>
  <si>
    <t>Biologie cellulaire et tissulaire 
Edouard LAMY 
(Salle 4et aile A Fac Pharmacie Campus Timone)</t>
  </si>
  <si>
    <t>SAE Analyse &amp; Evaluation de la marche
Pascale CHAVET/ Serge MESURE 
(ERGOLAB Luminy)</t>
  </si>
  <si>
    <t>SAE Biomécanique ostéoarticulaire 
Abdelwahed BARKAOUI 
(VISIO ZOOM)</t>
  </si>
  <si>
    <t>Afterwok  SNITEM</t>
  </si>
  <si>
    <r>
      <t>on peut avancer l'examen</t>
    </r>
    <r>
      <rPr>
        <b/>
        <sz val="11"/>
        <color rgb="FFFF0000"/>
        <rFont val="Calibri"/>
        <family val="2"/>
        <scheme val="minor"/>
      </rPr>
      <t xml:space="preserve"> affaires reglementaires</t>
    </r>
    <r>
      <rPr>
        <sz val="11"/>
        <color rgb="FFFF0000"/>
        <rFont val="Calibri"/>
        <family val="2"/>
        <scheme val="minor"/>
      </rPr>
      <t xml:space="preserve"> et aussi </t>
    </r>
    <r>
      <rPr>
        <b/>
        <sz val="11"/>
        <color rgb="FFFF0000"/>
        <rFont val="Calibri"/>
        <family val="2"/>
        <scheme val="minor"/>
      </rPr>
      <t xml:space="preserve">biologie cellulaire </t>
    </r>
    <r>
      <rPr>
        <sz val="11"/>
        <color rgb="FFFF0000"/>
        <rFont val="Calibri"/>
        <family val="2"/>
        <scheme val="minor"/>
      </rPr>
      <t>?</t>
    </r>
  </si>
  <si>
    <t>accueil rentrée multi-diplomes 
Virginie TAILLEBOT
(Giboc -Hopital Sainte-Marguerite, RDC Bas, Pavillon 6)</t>
  </si>
  <si>
    <t>Mécanique des Fluides 
Julien SERRES 
(FSS Luminy)</t>
  </si>
  <si>
    <t>Modélisation numérique
 Kurtz
(FSS Luminy)</t>
  </si>
  <si>
    <t>Python
 Théophile Kurtz 
(Salles info sciences TPR1 Luminy)</t>
  </si>
  <si>
    <t>Modélisation numérique
Théophile Kurtz
(Salles info FSS Luminy)</t>
  </si>
  <si>
    <t>Anatomie et techniques chirurgicales (Chir dentaire) 
Thomas Giraud 
(salle 105 - Faculté d'Odontologie -Campus Timone)</t>
  </si>
  <si>
    <t>Imagerie Médicale et Scientifiques (CM) 
Jérôme Vicente
(Giboc- Hopital Sainte-Marguerite)</t>
  </si>
  <si>
    <t>Biotribologie 
Virginie Taillebot 
Giboc-Hopital Sainte-Marguerite</t>
  </si>
  <si>
    <t>ORAUX CONDUITE DE PROJET (Giboc- Hop Sainte Marguerite)</t>
  </si>
  <si>
    <t>SAE EXAMEN Biocompatibilité &amp; Bioactivité des Biomatériaux (NanoMatériaux) 
Nadine Candoni 
(Polytech Luminy)</t>
  </si>
  <si>
    <t>FORUM BIOMEDICAL A POLYTECH</t>
  </si>
  <si>
    <t>SAE Suivi de Projet en Modélisation numérique
S. CANDONI
(Salles info FSS Luminy)</t>
  </si>
  <si>
    <t>SAE Suivi de Projet en Modélisation numérique
T. KRIEGER
(Salles info FSS Luminy)</t>
  </si>
  <si>
    <t>en autonomie (salle des stagiares ou de cours Giboc)</t>
  </si>
  <si>
    <t>session de travail en autonomie  conduite operationnelle de projet (Giboc)</t>
  </si>
  <si>
    <t>session de travail en autonomie conduite operationnelle de projet (BU Luminy)</t>
  </si>
  <si>
    <t>session de travail en autonomie  conduite operationnelle de projet</t>
  </si>
  <si>
    <t>Fabrication Grp 1 
13h30-15h30
Julien Chaves-Jacob 
(IUT Aix)</t>
  </si>
  <si>
    <t>Fabrication Grp 2
13h30-15h30
Julien Chaves-Jacob 
(IUT Aix)</t>
  </si>
  <si>
    <t>Examens anticipés 
Physique des Biomatériaux 
+ Mécanique des Fluides  à CONFIRMER!</t>
  </si>
  <si>
    <t>Imagerie Médicale et Scientifiques (CM) 
Félix Rico
(109A Bat A -salle de sciences Luminy)</t>
  </si>
  <si>
    <t>Mécanique des Fluides 
Julien SERRES 
(Locaux sur ade)</t>
  </si>
  <si>
    <t>Imagerie Médicale et Scientifiques
SAE Biomecanique du syst OA
Daphné Genoun
(Giboc Sainte-Marguerite)</t>
  </si>
  <si>
    <r>
      <t xml:space="preserve">EXAMENS (surveillance S.Roffino ?)
*mecanobiologie ( tout le monde)
* </t>
    </r>
    <r>
      <rPr>
        <b/>
        <strike/>
        <sz val="12"/>
        <color theme="0"/>
        <rFont val="Calibri"/>
        <family val="2"/>
        <scheme val="minor"/>
      </rPr>
      <t>affaires reglementaires (staps + polytech)</t>
    </r>
  </si>
  <si>
    <r>
      <t xml:space="preserve">EXAMENS (surveil About ou Lamy ?)
* biocompatibilité ( staps +clinic + centrale)
* </t>
    </r>
    <r>
      <rPr>
        <b/>
        <strike/>
        <sz val="12"/>
        <color theme="0"/>
        <rFont val="Calibri"/>
        <family val="2"/>
        <scheme val="minor"/>
      </rPr>
      <t>biologie cellulaire et tissulaire (staps)</t>
    </r>
  </si>
  <si>
    <t>seminaire innovation visio</t>
  </si>
  <si>
    <t>Modélisation numérique
S candoni
(Salles info FSS Luminy)</t>
  </si>
  <si>
    <t>IA
Anass ECHCHERKI- Fred NGOGA
salle FSS - E-207</t>
  </si>
  <si>
    <r>
      <t xml:space="preserve">Biocompatibilité &amp; Bioactivité des Biomatériaux (NanoMatériaux) 
</t>
    </r>
    <r>
      <rPr>
        <b/>
        <sz val="11"/>
        <rFont val="Calibri"/>
        <family val="2"/>
        <scheme val="minor"/>
      </rPr>
      <t xml:space="preserve">SeminaireAdhésion cellulaire de Mme Sengupta 
</t>
    </r>
    <r>
      <rPr>
        <sz val="11"/>
        <rFont val="Calibri"/>
        <family val="2"/>
        <scheme val="minor"/>
      </rPr>
      <t>(AMPHI C Polytech Luminy)</t>
    </r>
  </si>
  <si>
    <r>
      <t xml:space="preserve">Biocompatibilité &amp; Bioactivité des Biomatériaux (NanoMatériaux) 
</t>
    </r>
    <r>
      <rPr>
        <b/>
        <sz val="11"/>
        <rFont val="Calibri"/>
        <family val="2"/>
        <scheme val="minor"/>
      </rPr>
      <t xml:space="preserve">Seminaire Nanotoxicologie de Mme Auffan 
</t>
    </r>
    <r>
      <rPr>
        <sz val="11"/>
        <rFont val="Calibri"/>
        <family val="2"/>
        <scheme val="minor"/>
      </rPr>
      <t>(AMPHI C Polytech Luminy)</t>
    </r>
  </si>
  <si>
    <t>Exemple d'un implant 
DEMONSTRATION NEWCLIP
Virginie TAILLEBOT 
(Locaux GIBOC Hôpital Ste Marguerite)</t>
  </si>
  <si>
    <t>Exemple d'un implant 
Intervention BIOBANK
Virginie TAILLEBOT 
(Locaux GIBOC Hôpital Ste Marguerite)</t>
  </si>
  <si>
    <t>attention journée du labo</t>
  </si>
  <si>
    <t>Anatomie et techniques chirurgicales
Serge MESURE 
(sainte marguerite)</t>
  </si>
  <si>
    <t>SAE PROJET BIOMECANIQUE
Anatomie et techniques chirurgicales
Serge MESURE 
(FSS STAPS Luminy)</t>
  </si>
  <si>
    <t>1 séance supprimmée</t>
  </si>
  <si>
    <r>
      <t xml:space="preserve">Imagerie Médicale et Scientifiques (TP)
Félix RICO </t>
    </r>
    <r>
      <rPr>
        <b/>
        <sz val="11"/>
        <rFont val="Calibri"/>
        <family val="2"/>
        <scheme val="minor"/>
      </rPr>
      <t>-GROUPE A</t>
    </r>
    <r>
      <rPr>
        <sz val="11"/>
        <rFont val="Calibri"/>
        <family val="2"/>
        <scheme val="minor"/>
      </rPr>
      <t xml:space="preserve">
(TPR2 Campus Luminy)</t>
    </r>
  </si>
  <si>
    <r>
      <t xml:space="preserve">Imagerie Médicale et Scientifiques (TP)
Félix RICO - </t>
    </r>
    <r>
      <rPr>
        <b/>
        <sz val="11"/>
        <rFont val="Calibri"/>
        <family val="2"/>
        <scheme val="minor"/>
      </rPr>
      <t>GROUPE B</t>
    </r>
    <r>
      <rPr>
        <sz val="11"/>
        <rFont val="Calibri"/>
        <family val="2"/>
        <scheme val="minor"/>
      </rPr>
      <t xml:space="preserve">
(TPR2 Campus Luminy)</t>
    </r>
  </si>
  <si>
    <r>
      <t xml:space="preserve">Imagerie Médicale et Scientifiques (TP)
Félix RICO - </t>
    </r>
    <r>
      <rPr>
        <b/>
        <sz val="11"/>
        <rFont val="Calibri"/>
        <family val="2"/>
        <scheme val="minor"/>
      </rPr>
      <t>GROUPE C</t>
    </r>
    <r>
      <rPr>
        <sz val="11"/>
        <rFont val="Calibri"/>
        <family val="2"/>
        <scheme val="minor"/>
      </rPr>
      <t xml:space="preserve">
(TPR2 Campus Luminy)</t>
    </r>
  </si>
  <si>
    <t>EXAMEN (surveillance S.MESURE)
* Anatomies et  techniques chirur (staps+centrale)
* Biotribologie (staps+centrale+polytech +cliniciens)</t>
  </si>
  <si>
    <t>Examen Affaires Réglementaires 1h30
(staps+polytech)
(FSS Luminy)</t>
  </si>
  <si>
    <t>Examen Biologie Cellulaire 1h
(staps)
(FSS Luminy)</t>
  </si>
  <si>
    <r>
      <t xml:space="preserve">Imagerie Médicale et Scientifique (TP)
Jerôme Vicente - </t>
    </r>
    <r>
      <rPr>
        <b/>
        <sz val="11"/>
        <rFont val="Calibri"/>
        <family val="2"/>
        <scheme val="minor"/>
      </rPr>
      <t>GROUPE B</t>
    </r>
    <r>
      <rPr>
        <sz val="11"/>
        <rFont val="Calibri"/>
        <family val="2"/>
        <scheme val="minor"/>
      </rPr>
      <t xml:space="preserve">
(IUSTI-Polytech Technopole Château Gombert)</t>
    </r>
  </si>
  <si>
    <r>
      <t xml:space="preserve">Imagerie Médicale et Scientifique (TP)
Jerôme Vicente - </t>
    </r>
    <r>
      <rPr>
        <b/>
        <sz val="11"/>
        <rFont val="Calibri"/>
        <family val="2"/>
        <scheme val="minor"/>
      </rPr>
      <t>GROUPE A</t>
    </r>
    <r>
      <rPr>
        <sz val="11"/>
        <rFont val="Calibri"/>
        <family val="2"/>
        <scheme val="minor"/>
      </rPr>
      <t xml:space="preserve">
(IUSTI-Polytech Technopole Château Gombert)</t>
    </r>
  </si>
  <si>
    <r>
      <t xml:space="preserve">Imagerie Médicale et Scientifique (TP)
Jerôme Vicente  - </t>
    </r>
    <r>
      <rPr>
        <b/>
        <sz val="11"/>
        <rFont val="Calibri"/>
        <family val="2"/>
        <scheme val="minor"/>
      </rPr>
      <t>GROUPE A</t>
    </r>
    <r>
      <rPr>
        <sz val="11"/>
        <rFont val="Calibri"/>
        <family val="2"/>
        <scheme val="minor"/>
      </rPr>
      <t xml:space="preserve">
(IUSTI-Polytech Technopole Château Gombert)</t>
    </r>
  </si>
  <si>
    <t>MécanoBiologie 
Sandrine Roffino
(Fac de Pharmacie , 4ième étage, aile A, en salle prestige)</t>
  </si>
  <si>
    <t>journée labo</t>
  </si>
  <si>
    <t>EXAMENS (surveillance T. KURTZ)
* Imagerie medicale et scientifique (staps +centrale +cliniciens)</t>
  </si>
  <si>
    <t xml:space="preserve">EXAMENS (surveillance V.TAILLEBOT)
* Exemple d'un implant (cliniciens +staps)
*Biomecanique Ostéoarticulaire (staps +centrale +polytech +cliniciens)
</t>
  </si>
  <si>
    <t>Exemple d'un Implant
Intervention Novetech Surgery
(locaux Giboc Ste-Marguerite)</t>
  </si>
  <si>
    <t>13h30 Exemple d'un implant 
TEKNIMED
(Locaux GIBOC Hôpital Ste Marguerite)</t>
  </si>
  <si>
    <t>Intervention société EFOR
Life science</t>
  </si>
  <si>
    <t>Exemple d'un implant 
AMPLITUDE SURGICAL
Virginie TAILLEBOT 
(LUMINY: salle de thèse?)</t>
  </si>
  <si>
    <t>SAE EXAMEN Analyse de la marche
Chavet /Mesure (centrale + staps)
(Sainte Marguerite)</t>
  </si>
  <si>
    <t>ORAUX CONDUITE DE PROJET
 (FSS Luminy)
des 13h30</t>
  </si>
  <si>
    <t>lieu TP Felix Rico</t>
  </si>
  <si>
    <t>Nous sommes au RDC du tpr2, Bloc 5. Entrée juste à droite de l'entrée CNRS. Voici un lien avec vidéo pour y arriver</t>
  </si>
  <si>
    <t>&lt;https://sites.google.com/view/fm4b-lab/contact-us&gt;</t>
  </si>
  <si>
    <r>
      <t xml:space="preserve">Biocompatibilité &amp; Bioactivité des Biomatériaux (NanoMatériaux) 
</t>
    </r>
    <r>
      <rPr>
        <b/>
        <sz val="11"/>
        <rFont val="Calibri"/>
        <family val="2"/>
        <scheme val="minor"/>
      </rPr>
      <t xml:space="preserve">Seminaire Nanotoxicologie de Mme Auffan 
</t>
    </r>
    <r>
      <rPr>
        <sz val="11"/>
        <rFont val="Calibri"/>
        <family val="2"/>
        <scheme val="minor"/>
      </rPr>
      <t>(SALLE D003 Polytech Luminy)</t>
    </r>
  </si>
  <si>
    <t>Jour de révisions</t>
  </si>
  <si>
    <t xml:space="preserve">EXAMEN (surveillance S.ROFFINO)
* Mécanobiologie  (staps+centrale+ polytech+ cliniciens)
* Biocomptabilité (staps+centrale+  polytech +cliniciens)
</t>
  </si>
  <si>
    <r>
      <t xml:space="preserve">LIVE SURGERY </t>
    </r>
    <r>
      <rPr>
        <b/>
        <sz val="11"/>
        <rFont val="Calibri"/>
        <family val="2"/>
        <scheme val="minor"/>
      </rPr>
      <t xml:space="preserve">M1 BTI </t>
    </r>
    <r>
      <rPr>
        <sz val="11"/>
        <rFont val="Calibri"/>
        <family val="2"/>
        <scheme val="minor"/>
      </rPr>
      <t>ouverts aux ingénieurs en M2
hopital Sainte-Margerite-salle de staff Orthopédie</t>
    </r>
  </si>
  <si>
    <t>Exemple d'un implant 
 NEWCLIP BUSINESS D'UN IMPLANT
Virginie TAILLEBOT 
(Locaux GIBOC Hôpital Ste Marguerite)</t>
  </si>
  <si>
    <t xml:space="preserve">CONSEIL </t>
  </si>
  <si>
    <t>cours centrale</t>
  </si>
  <si>
    <r>
      <t xml:space="preserve">Imagerie Médicale et Scientifique (TP)
Jerôme Vicente - </t>
    </r>
    <r>
      <rPr>
        <b/>
        <sz val="11"/>
        <color theme="0"/>
        <rFont val="Calibri"/>
        <family val="2"/>
        <scheme val="minor"/>
      </rPr>
      <t>GROUPE C</t>
    </r>
    <r>
      <rPr>
        <sz val="11"/>
        <color theme="0"/>
        <rFont val="Calibri"/>
        <family val="2"/>
        <scheme val="minor"/>
      </rPr>
      <t xml:space="preserve">
(IUSTI-Polytech Technopole Château Gombert)</t>
    </r>
  </si>
  <si>
    <t>Imagerie Médicale et Scientifiques (CM) 
Jérôme Vicente
(Polytech Chateau Gombert)</t>
  </si>
  <si>
    <t>Imagerie Médicale et Scientifiques (CM) 
Felix Rico
(Polytech Luminy)</t>
  </si>
  <si>
    <t>Jour de révisions 1</t>
  </si>
  <si>
    <t>Jour de révisions 2</t>
  </si>
  <si>
    <t xml:space="preserve">Jour de révisions 3 </t>
  </si>
  <si>
    <t>Jour de révisions 4</t>
  </si>
  <si>
    <t>Jour de révisions 5</t>
  </si>
  <si>
    <t>Jour de révisions 6</t>
  </si>
  <si>
    <t>vacances sco</t>
  </si>
  <si>
    <t>Biologie cellulaire et tissulaire 
S Roffino
(Salle 4et aile A Fac Pharmacie Campus Timone)</t>
  </si>
  <si>
    <t>Biologie cellulaire et tissulaire 
C CAMY
(Salle 4et aile A Fac Pharmacie Campus Timone)</t>
  </si>
  <si>
    <r>
      <t xml:space="preserve">Biocompatibilité &amp; Bioactivité des Biomatériaux (NanoMatériaux) 
</t>
    </r>
    <r>
      <rPr>
        <b/>
        <sz val="10"/>
        <color rgb="FFFF66FF"/>
        <rFont val="Calibri"/>
        <family val="2"/>
        <scheme val="minor"/>
      </rPr>
      <t>Nadine Candoni</t>
    </r>
    <r>
      <rPr>
        <sz val="10"/>
        <color rgb="FFFF66FF"/>
        <rFont val="Calibri"/>
        <family val="2"/>
        <scheme val="minor"/>
      </rPr>
      <t xml:space="preserve"> 
(Polytech Luminy)</t>
    </r>
  </si>
  <si>
    <r>
      <t xml:space="preserve">Biocompatibilité &amp; Bioactivité des Biomatériaux (NanoMatériaux) 
</t>
    </r>
    <r>
      <rPr>
        <b/>
        <sz val="9"/>
        <color rgb="FFFF66FF"/>
        <rFont val="Calibri"/>
        <family val="2"/>
        <scheme val="minor"/>
      </rPr>
      <t>Nadine Candoni</t>
    </r>
    <r>
      <rPr>
        <sz val="9"/>
        <color rgb="FFFF66FF"/>
        <rFont val="Calibri"/>
        <family val="2"/>
        <scheme val="minor"/>
      </rPr>
      <t xml:space="preserve"> 
(Polytech Luminy)</t>
    </r>
  </si>
  <si>
    <t xml:space="preserve">ORAUX CONDUITE DE PROJET
 (FSS Luminy)
</t>
  </si>
  <si>
    <t>Examen Affaires Rélgementaires 1h
(staps)
(FSS Luminy)</t>
  </si>
  <si>
    <t>25h a programmer</t>
  </si>
  <si>
    <r>
      <rPr>
        <b/>
        <sz val="11"/>
        <color theme="1"/>
        <rFont val="Calibri"/>
        <family val="2"/>
        <scheme val="minor"/>
      </rPr>
      <t xml:space="preserve">ok </t>
    </r>
    <r>
      <rPr>
        <b/>
        <sz val="11"/>
        <color theme="1"/>
        <rFont val="Aptos Narrow"/>
        <family val="2"/>
      </rPr>
      <t>↓</t>
    </r>
  </si>
  <si>
    <t>?</t>
  </si>
  <si>
    <r>
      <t>?</t>
    </r>
    <r>
      <rPr>
        <b/>
        <sz val="11"/>
        <color theme="1"/>
        <rFont val="Aptos Narrow"/>
        <family val="2"/>
      </rPr>
      <t>↑</t>
    </r>
  </si>
  <si>
    <t>CM Analyse &amp; Evaluation de la marche
Pascale CHAVET/ Serge MESURE 
(FSS STAPS Luminy)</t>
  </si>
  <si>
    <t>MécanoBiologie 
Sandrine Roffino
(Luminy)</t>
  </si>
  <si>
    <t>Ok</t>
  </si>
  <si>
    <t>OK</t>
  </si>
  <si>
    <t>Expérimentation 
Martine PITHIOUX 
(? Ste Marg ?)</t>
  </si>
  <si>
    <t>Journée du Labo
(Amphi FSS Luminy)</t>
  </si>
  <si>
    <t>SAE Examen ORAL MécanoBiologie 
Sandrine Roffino
Luminy</t>
  </si>
  <si>
    <t>SAE EXAMEN ORAL
Analyse de la marche
Chavet /Mesure (centrale + staps)
(Sainte Marguerite)</t>
  </si>
  <si>
    <t>EXAMENS (surveillance XXXXX )
* Imagerie medicale et scientifique (staps +centrale +cliniciens)</t>
  </si>
  <si>
    <t>SAE ANALYSE DE LA MARCHE
(ERGOLAB Luminy)</t>
  </si>
  <si>
    <t>SAE BIOMECA DES TISSUS OSTEO
Affaires Règlementaires 
Entreprise NEXIALIST 
(FSS Luminy)</t>
  </si>
  <si>
    <t>Fabrication Grp 1 
??
(IUT Aix)</t>
  </si>
  <si>
    <t>Fabrication Grp 1 
13h30-15h30
??
(IUT Aix)</t>
  </si>
  <si>
    <t>IA
Anass ECHCHERKI
salle FSS - E-207</t>
  </si>
  <si>
    <t>SAE Suivi de Projet en Modélisation numérique
S.CANDONI
(Salles info FSS Luminy)</t>
  </si>
  <si>
    <t>Python Avancé
Anass ECHCHERKI
(Salles info FSS Luminy)</t>
  </si>
  <si>
    <t>et 1h SAE Mecanobiologie (Imad About)</t>
  </si>
  <si>
    <r>
      <t xml:space="preserve">Biocompatibilité &amp; Bioactivité des Biomatériaux : de la conception au dvpt industriel 
</t>
    </r>
    <r>
      <rPr>
        <sz val="11"/>
        <color rgb="FFFF00FF"/>
        <rFont val="Calibri"/>
        <family val="2"/>
        <scheme val="minor"/>
      </rPr>
      <t>SAE Mecanobiologie</t>
    </r>
    <r>
      <rPr>
        <sz val="11"/>
        <rFont val="Calibri"/>
        <family val="2"/>
        <scheme val="minor"/>
      </rPr>
      <t xml:space="preserve">
Imad ABOUT  
Fac Odonto - Campus Timone, salle 106 1er etage</t>
    </r>
  </si>
  <si>
    <t>ok ↓</t>
  </si>
  <si>
    <t>OK-&gt;</t>
  </si>
  <si>
    <t>Biologie cellulaire et tissulaire 
I ABOUT
(salle 106- Fac Odonto - Campus Timone )</t>
  </si>
  <si>
    <t>Biologie cellulaire et tissulaire 
Imad ABOUT 
(Fac Odonto - Campus Timone - Salle 107 (1er tage))</t>
  </si>
  <si>
    <t>Biocompatibilité &amp; Bioactivité des Biomatériaux 
Imad ABOUT 
(Fac Odontologie - Campus Timone - salle 107 )</t>
  </si>
  <si>
    <t>Anatomie et techniques chirurgicales (Chir dentaire) 
Thomas Giraud 
(salle ??? - Faculté d'Odontologie -Campus Timone)</t>
  </si>
  <si>
    <t>cours ?</t>
  </si>
  <si>
    <t>Modélisation numérique
Théophile Poncin
(Salles info FSS Luminy)</t>
  </si>
  <si>
    <t>SAE Suivi de Projet en Modélisation numérique
T. Poncin
(Salles info FSS Luminy)</t>
  </si>
  <si>
    <t xml:space="preserve">ok </t>
  </si>
  <si>
    <t>pk</t>
  </si>
  <si>
    <r>
      <t>Imagerie Médicale et Scientifiques (TP)
XXXX</t>
    </r>
    <r>
      <rPr>
        <b/>
        <sz val="11"/>
        <rFont val="Calibri"/>
        <family val="2"/>
        <scheme val="minor"/>
      </rPr>
      <t>-GROUPE A</t>
    </r>
    <r>
      <rPr>
        <sz val="11"/>
        <rFont val="Calibri"/>
        <family val="2"/>
        <scheme val="minor"/>
      </rPr>
      <t xml:space="preserve">
(TPR2 Campus Luminy)</t>
    </r>
  </si>
  <si>
    <r>
      <t xml:space="preserve">Imagerie Médicale et Scientifiques (TP)
XXX - </t>
    </r>
    <r>
      <rPr>
        <b/>
        <sz val="11"/>
        <rFont val="Calibri"/>
        <family val="2"/>
        <scheme val="minor"/>
      </rPr>
      <t>GROUPE B</t>
    </r>
    <r>
      <rPr>
        <sz val="11"/>
        <rFont val="Calibri"/>
        <family val="2"/>
        <scheme val="minor"/>
      </rPr>
      <t xml:space="preserve">
(TPR2 Bloc 5 Campus Luminy)</t>
    </r>
  </si>
  <si>
    <r>
      <t xml:space="preserve">Imagerie Médicale et Scientifiques (TP)
XXXXX - </t>
    </r>
    <r>
      <rPr>
        <b/>
        <sz val="11"/>
        <color theme="0"/>
        <rFont val="Calibri"/>
        <family val="2"/>
        <scheme val="minor"/>
      </rPr>
      <t>GROUPE C</t>
    </r>
    <r>
      <rPr>
        <sz val="11"/>
        <color theme="0"/>
        <rFont val="Calibri"/>
        <family val="2"/>
        <scheme val="minor"/>
      </rPr>
      <t xml:space="preserve">
(TPR2 Bloc 5 Campus Luminy)</t>
    </r>
  </si>
  <si>
    <t>Imagerie Médicale et Scientifiques (CM) 
XXXXX
(Polytech Luminy)</t>
  </si>
  <si>
    <t xml:space="preserve">MécanoBiologie TD
Sandrine Roffino
(FSS Luminy)
</t>
  </si>
  <si>
    <t>SAE MECANOBIO
Suivi de Projet en Modélisation numérique
S.Candoni
(Salles info FSS Luminy)</t>
  </si>
  <si>
    <r>
      <t xml:space="preserve">Imagerie Médicale et Scientifique (TP)
Jerôme Vicente - </t>
    </r>
    <r>
      <rPr>
        <b/>
        <sz val="11"/>
        <color theme="0"/>
        <rFont val="Calibri"/>
        <family val="2"/>
        <scheme val="minor"/>
      </rPr>
      <t>GROUPE D pas de cmi?</t>
    </r>
    <r>
      <rPr>
        <sz val="11"/>
        <color theme="0"/>
        <rFont val="Calibri"/>
        <family val="2"/>
        <scheme val="minor"/>
      </rPr>
      <t xml:space="preserve">
(IUSTI-Polytech Technopole Château Gombert)</t>
    </r>
  </si>
  <si>
    <t>Biocompatibilité &amp; Bioactivité des Biomatériaux : de la conception au dvpt industriel 
SAE Mecanobiologie
Imad ABOUT  
Fac Odonto - Campus Timone, salle 106 1er etage</t>
  </si>
  <si>
    <t>Imagerie Médicale et Scientifiques (CM) 
XXXXX
(Polytech Chateau Gombert)</t>
  </si>
  <si>
    <t>Fabrication Grp 1 
13h30-15h30
Julien DIPERI
(IUT Aix)</t>
  </si>
  <si>
    <t>Fabrication Grp 2
Julien DIPERI
(IUT Aix)</t>
  </si>
  <si>
    <t>Fabrication Grp 2
13h30-15h30
Julien DIPERI
(IUT Aix)</t>
  </si>
  <si>
    <t>Anatomie et techniques chirurgicales (Chir dentaire) 
Thomas Giraud 
(salle 107 - Faculté d'Odontologie -Campus Timone)</t>
  </si>
  <si>
    <r>
      <t xml:space="preserve">Biocompatibilité &amp; Bioactivité des Biomatériaux (NanoMatériaux) 
</t>
    </r>
    <r>
      <rPr>
        <sz val="10"/>
        <rFont val="Calibri"/>
        <family val="2"/>
        <scheme val="minor"/>
      </rPr>
      <t xml:space="preserve">Nadine Candoni </t>
    </r>
    <r>
      <rPr>
        <sz val="10"/>
        <color rgb="FFFF66FF"/>
        <rFont val="Calibri"/>
        <family val="2"/>
        <scheme val="minor"/>
      </rPr>
      <t xml:space="preserve">
(Polytech Luminy)</t>
    </r>
  </si>
  <si>
    <r>
      <t xml:space="preserve">Biocompatibilité &amp; Bioactivité des Biomatériaux (NanoMatériaux) 
</t>
    </r>
    <r>
      <rPr>
        <sz val="10"/>
        <rFont val="Calibri"/>
        <family val="2"/>
        <scheme val="minor"/>
      </rPr>
      <t xml:space="preserve">Nadine Candoni / </t>
    </r>
    <r>
      <rPr>
        <sz val="10"/>
        <color rgb="FFFF0000"/>
        <rFont val="Calibri"/>
        <family val="2"/>
        <scheme val="minor"/>
      </rPr>
      <t>debut 13h30 !</t>
    </r>
    <r>
      <rPr>
        <sz val="10"/>
        <color rgb="FFFF66FF"/>
        <rFont val="Calibri"/>
        <family val="2"/>
        <scheme val="minor"/>
      </rPr>
      <t xml:space="preserve">
(Polytech Luminy)</t>
    </r>
  </si>
  <si>
    <t>Biocompatibilité &amp; Bioactivité des Biomatériaux (NanoMatériaux) 
Nadine Candoni 
(Polytech Luminy)</t>
  </si>
  <si>
    <t>SAE MECANOBIO
Suivi de Projet en Modélisation numérique
T.Krieger
(Salles info FSS Luminy)</t>
  </si>
  <si>
    <t xml:space="preserve">conduite operationnelle de projet </t>
  </si>
  <si>
    <t>?? Physique des Biomatériaux 
Virginie TAILLEBOT (Locaux Giboc Hôpital Ste Marguerite)</t>
  </si>
  <si>
    <t xml:space="preserve">Imagerie Médicale et Scientifiques (TP)
Zine FELLAH - GROUPE B
(LMA Château Gombert)
</t>
  </si>
  <si>
    <t xml:space="preserve">Imagerie Médicale et Scientifiques (TP)
Zine FELLAH - GROUPE A
(LMA Château Gombert)
</t>
  </si>
  <si>
    <t xml:space="preserve">Imagerie Médicale et Scientifiques (TP)
Zine FELLAH - GROUPE C
(LMA Château Gombert)
</t>
  </si>
  <si>
    <t>Exemple d'un implant 
NOVETECH
Virginie TAILLEBOT 
(Locaux GIBOC Hôpital Ste Marguerite)</t>
  </si>
  <si>
    <t>Exemple d'un implant 
ENTRE NEWCLIP BUISNESS
Virginie TAILLEBOT 
(Locaux GIBOC Hôpital Ste Marguerite)</t>
  </si>
  <si>
    <t>S.Kikwani</t>
  </si>
  <si>
    <t>EXAMENS (surveillance M.PITHIOUX )
* Imagerie medicale et scientifique (staps +centrale +cliniciens)</t>
  </si>
  <si>
    <t>Affaires Règlementaires 
Entreprise NEXIALIST 
(Giboc Hopital  Sainte-Marguerite</t>
  </si>
  <si>
    <t>le 17/12</t>
  </si>
  <si>
    <t>Design CAO 
SAE Biomeca du syst osteoartic
Jean-Marie ROSSI 
(Ecole Centrale Technopole Château Gombert- SALLE PRADO)</t>
  </si>
  <si>
    <t>RECONTRES BIOMEDICALES A POLYTECH LUMINY</t>
  </si>
  <si>
    <t>Modélisation numérique
Virgile Poncin
(Salles info FSS Luminy)</t>
  </si>
  <si>
    <t>SAE MECANOBIO
EVAL Projet en Modélisation numérique
S.Candoni
(Salles info FSS Luminy)</t>
  </si>
  <si>
    <t>SAE MECANOBIO
EVAL Projet en Modélisation numérique
T.Krieger
(Salles info FSS Luminy)</t>
  </si>
  <si>
    <t>Exemple d'un Implant
Intervention SIMAGEC
(locaux Giboc Ste-Marguerite)</t>
  </si>
  <si>
    <t>CM Analyse &amp; Evaluation de la marche
Pascale CHAVET/ Serge MESURE 
(Locaux Giboc Hôpital Ste Marguerite)</t>
  </si>
  <si>
    <t xml:space="preserve">EXAMENS (surveillance V.TAILLEBOT)
*Biomecanique Ostéoarticulaire (staps +centrale +polytech +cliniciens)
* Exemple d'un implant (cliniciens +staps)
</t>
  </si>
  <si>
    <t xml:space="preserve">EXAMEN (surveillance S.ROFFINO)
* Mécanobiologie  (staps+centrale+ polytech+ cliniciens)
* Biocomptabilité (staps+centrale+  +cliniciens)
</t>
  </si>
  <si>
    <t xml:space="preserve">M1 BTI </t>
  </si>
  <si>
    <t>EXAMEN (surveillance S.MESURE)
* Biotribologie (staps+centrale+polytech +cliniciens)
* Anatomies et  techniques chirur (staps+centrale)</t>
  </si>
  <si>
    <t>Imagerie Médicale et Scientifiques (CM) 
Zine FELLAH
( AMPHI du laboratoire LMA,  Chateau Gombert)</t>
  </si>
  <si>
    <t>Biocompatibilité &amp; Bioactivité des Biomatériaux (NanoMatériaux) 
Nadine Candoni 
(Amphi C, Polytech Luminy)</t>
  </si>
  <si>
    <r>
      <t xml:space="preserve">Biocompatibilité &amp; Bioactivité des Biomatériaux (NanoMatériaux) 
</t>
    </r>
    <r>
      <rPr>
        <sz val="10"/>
        <rFont val="Calibri"/>
        <family val="2"/>
        <scheme val="minor"/>
      </rPr>
      <t xml:space="preserve">Nadine Candoni </t>
    </r>
    <r>
      <rPr>
        <sz val="10"/>
        <color rgb="FFFF66FF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(salle D 003 Polytech Luminy)</t>
    </r>
  </si>
  <si>
    <r>
      <t xml:space="preserve">Biocompatibilité &amp; Bioactivité des Biomatériaux (NanoMatériaux) 
</t>
    </r>
    <r>
      <rPr>
        <sz val="10"/>
        <rFont val="Calibri"/>
        <family val="2"/>
        <scheme val="minor"/>
      </rPr>
      <t>Nadine Candoni /</t>
    </r>
    <r>
      <rPr>
        <b/>
        <sz val="10"/>
        <rFont val="Calibri"/>
        <family val="2"/>
        <scheme val="minor"/>
      </rPr>
      <t xml:space="preserve"> debut 13h30 !</t>
    </r>
    <r>
      <rPr>
        <sz val="10"/>
        <color rgb="FFFF66FF"/>
        <rFont val="Calibri"/>
        <family val="2"/>
        <scheme val="minor"/>
      </rPr>
      <t xml:space="preserve">
</t>
    </r>
    <r>
      <rPr>
        <sz val="10"/>
        <rFont val="Calibri"/>
        <family val="2"/>
        <scheme val="minor"/>
      </rPr>
      <t>(salle D 003 Polytech Luminy)</t>
    </r>
  </si>
  <si>
    <t>FIN JANVIER</t>
  </si>
  <si>
    <t>CT</t>
  </si>
  <si>
    <t xml:space="preserve">Anatomie et techniques chirurgicales </t>
  </si>
  <si>
    <t xml:space="preserve">Imagerie médicale et scientifique </t>
  </si>
  <si>
    <t>Exemple d’un implant</t>
  </si>
  <si>
    <t>Mécanobiologie</t>
  </si>
  <si>
    <t>Biocompatibilité &amp; Bioactivité des Biomatériaux</t>
  </si>
  <si>
    <t xml:space="preserve">Biomécanique du système ostéoarticulaire </t>
  </si>
  <si>
    <t>Biotribologie</t>
  </si>
  <si>
    <t>Staps</t>
  </si>
  <si>
    <t>ECM</t>
  </si>
  <si>
    <t>Polytech</t>
  </si>
  <si>
    <t>Clinicien</t>
  </si>
  <si>
    <t>x</t>
  </si>
  <si>
    <t>scans et Sainte</t>
  </si>
  <si>
    <t>Copies?</t>
  </si>
  <si>
    <t>timone</t>
  </si>
  <si>
    <t>Sainte</t>
  </si>
  <si>
    <t xml:space="preserve">scans </t>
  </si>
  <si>
    <t xml:space="preserve">EXAMEN (surveillance S.ROFFINO)
1- Biocomptabilité (staps+ECM  +cliniciens)
2- Mécanobiologie  (staps+ECM+ polytech+ cliniciens)
</t>
  </si>
  <si>
    <t>EXAMEN (surveillance S.MESURE)
1 - Biotribologie (staps+ECM+polytech +cliniciens)
2- Anatomies et  techniques chirurgicales (staps+ECM)</t>
  </si>
  <si>
    <t>EXAMENS (surveillance M.PITHIOUX )
1- Imagerie medicale et scientifique (staps +ECM +cliniciens)</t>
  </si>
  <si>
    <t xml:space="preserve">EXAMENS (surveillance V.TAILLEBOT )
1 -Biomécanique du système ostéoarticulaire  (staps+ECM+polytech +cliniciens)
2- Exemple d'un implant ( Staps+cliniciens)
</t>
  </si>
  <si>
    <t>Examen Affaires Rélgementaires 1h
(staps + Polytech)
(FSS Luminy)</t>
  </si>
  <si>
    <t>Examens anticipés 
1- Physique des Biomatériaux 
2- Mécanique des Fluides 
(staps)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</si>
</sst>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  <charset val="1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  <charset val="1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FF99"/>
      <name val="Calibri"/>
      <family val="2"/>
      <scheme val="minor"/>
    </font>
    <font>
      <b/>
      <strike/>
      <sz val="12"/>
      <color theme="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0"/>
      <color rgb="FFFF66FF"/>
      <name val="Calibri"/>
      <family val="2"/>
      <scheme val="minor"/>
    </font>
    <font>
      <b/>
      <sz val="10"/>
      <color rgb="FFFF66FF"/>
      <name val="Calibri"/>
      <family val="2"/>
      <scheme val="minor"/>
    </font>
    <font>
      <sz val="9"/>
      <color rgb="FFFF66FF"/>
      <name val="Calibri"/>
      <family val="2"/>
      <scheme val="minor"/>
    </font>
    <font>
      <b/>
      <sz val="9"/>
      <color rgb="FFFF66FF"/>
      <name val="Calibri"/>
      <family val="2"/>
      <scheme val="minor"/>
    </font>
    <font>
      <sz val="11"/>
      <color rgb="FFFF66FF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rgb="FF66FFCC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A06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00"/>
        <bgColor indexed="64"/>
      </patternFill>
    </fill>
    <fill>
      <patternFill patternType="darkUp">
        <fgColor rgb="FFFFFF0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8837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 diagonalUp="1" diagonalDown="1">
      <left/>
      <right/>
      <top/>
      <bottom/>
      <diagonal style="thin">
        <color auto="1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28" fillId="0" borderId="0" applyNumberFormat="0" applyFill="0" applyBorder="0" applyAlignment="0" applyProtection="0"/>
  </cellStyleXfs>
  <cellXfs count="252">
    <xf numFmtId="0" fontId="0" fillId="0" borderId="0" xfId="0"/>
    <xf numFmtId="49" fontId="8" fillId="3" borderId="11" xfId="1" applyNumberFormat="1" applyFont="1" applyFill="1" applyBorder="1" applyAlignment="1">
      <alignment horizontal="center" vertical="center" wrapText="1"/>
    </xf>
    <xf numFmtId="49" fontId="8" fillId="3" borderId="19" xfId="1" applyNumberFormat="1" applyFont="1" applyFill="1" applyBorder="1" applyAlignment="1">
      <alignment horizontal="center" vertical="center" wrapText="1"/>
    </xf>
    <xf numFmtId="49" fontId="2" fillId="3" borderId="18" xfId="1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14" borderId="0" xfId="1" applyFont="1" applyFill="1" applyBorder="1" applyAlignment="1">
      <alignment horizontal="center" vertical="center" wrapText="1"/>
    </xf>
    <xf numFmtId="0" fontId="2" fillId="3" borderId="18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10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12" xfId="1" applyFont="1" applyFill="1" applyBorder="1" applyAlignment="1">
      <alignment horizontal="center" vertical="center" wrapText="1"/>
    </xf>
    <xf numFmtId="0" fontId="2" fillId="14" borderId="20" xfId="1" applyFont="1" applyFill="1" applyBorder="1" applyAlignment="1">
      <alignment horizontal="center" vertical="center" wrapText="1"/>
    </xf>
    <xf numFmtId="16" fontId="0" fillId="11" borderId="3" xfId="0" applyNumberFormat="1" applyFill="1" applyBorder="1" applyAlignment="1">
      <alignment horizontal="center" vertical="center"/>
    </xf>
    <xf numFmtId="16" fontId="4" fillId="2" borderId="17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16" fontId="4" fillId="2" borderId="0" xfId="0" applyNumberFormat="1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" fontId="4" fillId="2" borderId="8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0" fillId="13" borderId="0" xfId="0" applyFill="1" applyAlignment="1">
      <alignment horizontal="center" vertical="center" wrapText="1"/>
    </xf>
    <xf numFmtId="0" fontId="0" fillId="13" borderId="13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10" borderId="0" xfId="0" applyFill="1" applyBorder="1" applyAlignment="1">
      <alignment horizontal="center" vertical="center"/>
    </xf>
    <xf numFmtId="16" fontId="4" fillId="2" borderId="14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16" fontId="0" fillId="0" borderId="0" xfId="0" applyNumberFormat="1" applyFill="1" applyBorder="1" applyAlignment="1">
      <alignment horizontal="center" vertical="center"/>
    </xf>
    <xf numFmtId="16" fontId="4" fillId="0" borderId="0" xfId="0" applyNumberFormat="1" applyFont="1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9" fillId="19" borderId="0" xfId="0" applyFont="1" applyFill="1" applyBorder="1" applyAlignment="1">
      <alignment horizontal="center" vertical="center" wrapText="1"/>
    </xf>
    <xf numFmtId="16" fontId="4" fillId="2" borderId="5" xfId="0" applyNumberFormat="1" applyFont="1" applyFill="1" applyBorder="1" applyAlignment="1">
      <alignment horizontal="center" vertical="center"/>
    </xf>
    <xf numFmtId="16" fontId="4" fillId="11" borderId="0" xfId="0" applyNumberFormat="1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Border="1" applyAlignment="1">
      <alignment horizontal="center" vertical="center" wrapText="1"/>
    </xf>
    <xf numFmtId="0" fontId="28" fillId="0" borderId="0" xfId="2"/>
    <xf numFmtId="0" fontId="4" fillId="4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0" fillId="19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5" fillId="18" borderId="0" xfId="0" applyFont="1" applyFill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5" fillId="0" borderId="5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13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3" fillId="1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8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8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3" fillId="13" borderId="0" xfId="0" applyFont="1" applyFill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13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13" borderId="21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2" fillId="3" borderId="24" xfId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16" borderId="25" xfId="0" applyFill="1" applyBorder="1" applyAlignment="1">
      <alignment horizontal="center" vertical="center"/>
    </xf>
    <xf numFmtId="0" fontId="0" fillId="16" borderId="2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 wrapText="1"/>
    </xf>
    <xf numFmtId="0" fontId="5" fillId="18" borderId="0" xfId="0" applyFont="1" applyFill="1" applyBorder="1" applyAlignment="1">
      <alignment horizontal="center" vertical="center" wrapText="1"/>
    </xf>
    <xf numFmtId="0" fontId="0" fillId="11" borderId="0" xfId="0" applyFill="1" applyBorder="1" applyAlignment="1">
      <alignment horizontal="center" vertical="center" wrapText="1"/>
    </xf>
    <xf numFmtId="0" fontId="0" fillId="16" borderId="0" xfId="0" applyFill="1" applyBorder="1" applyAlignment="1">
      <alignment horizontal="center" vertical="center" wrapText="1"/>
    </xf>
    <xf numFmtId="0" fontId="0" fillId="16" borderId="0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9" fillId="16" borderId="0" xfId="0" applyFont="1" applyFill="1" applyBorder="1" applyAlignment="1">
      <alignment horizontal="center" vertical="center" wrapText="1"/>
    </xf>
    <xf numFmtId="0" fontId="9" fillId="16" borderId="0" xfId="0" applyFont="1" applyFill="1" applyBorder="1" applyAlignment="1">
      <alignment horizontal="center" vertical="center"/>
    </xf>
    <xf numFmtId="0" fontId="9" fillId="17" borderId="0" xfId="0" applyFont="1" applyFill="1" applyBorder="1" applyAlignment="1">
      <alignment horizontal="center" vertical="center"/>
    </xf>
    <xf numFmtId="0" fontId="29" fillId="17" borderId="0" xfId="0" applyFont="1" applyFill="1" applyBorder="1" applyAlignment="1">
      <alignment horizontal="center" vertical="center"/>
    </xf>
    <xf numFmtId="0" fontId="0" fillId="11" borderId="0" xfId="0" applyFont="1" applyFill="1" applyBorder="1" applyAlignment="1">
      <alignment horizontal="center" vertical="center" wrapText="1"/>
    </xf>
    <xf numFmtId="0" fontId="9" fillId="11" borderId="0" xfId="0" applyFont="1" applyFill="1" applyBorder="1" applyAlignment="1">
      <alignment horizontal="center" vertical="center" wrapText="1"/>
    </xf>
    <xf numFmtId="0" fontId="9" fillId="8" borderId="0" xfId="0" applyFont="1" applyFill="1" applyBorder="1" applyAlignment="1">
      <alignment horizontal="center" vertical="center" wrapText="1"/>
    </xf>
    <xf numFmtId="0" fontId="0" fillId="15" borderId="0" xfId="0" applyFill="1" applyBorder="1" applyAlignment="1">
      <alignment horizontal="center" vertical="center" wrapText="1"/>
    </xf>
    <xf numFmtId="0" fontId="9" fillId="15" borderId="0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9" fillId="19" borderId="0" xfId="0" applyFont="1" applyFill="1" applyBorder="1" applyAlignment="1">
      <alignment horizontal="center" vertical="center" wrapText="1"/>
    </xf>
    <xf numFmtId="0" fontId="0" fillId="16" borderId="0" xfId="0" applyFont="1" applyFill="1" applyBorder="1" applyAlignment="1">
      <alignment horizontal="center" vertical="center" wrapText="1"/>
    </xf>
    <xf numFmtId="0" fontId="5" fillId="10" borderId="0" xfId="0" applyFont="1" applyFill="1" applyBorder="1" applyAlignment="1">
      <alignment horizontal="center" vertical="center" wrapText="1"/>
    </xf>
    <xf numFmtId="0" fontId="23" fillId="8" borderId="0" xfId="0" applyFont="1" applyFill="1" applyAlignment="1">
      <alignment horizontal="center" vertical="center" wrapText="1"/>
    </xf>
    <xf numFmtId="0" fontId="0" fillId="8" borderId="0" xfId="0" applyFill="1" applyBorder="1" applyAlignment="1">
      <alignment horizontal="center" wrapText="1"/>
    </xf>
    <xf numFmtId="0" fontId="0" fillId="8" borderId="0" xfId="0" applyFill="1" applyBorder="1" applyAlignment="1">
      <alignment horizontal="center"/>
    </xf>
    <xf numFmtId="0" fontId="14" fillId="16" borderId="0" xfId="0" applyFont="1" applyFill="1" applyBorder="1" applyAlignment="1">
      <alignment horizontal="center" vertical="center" wrapText="1"/>
    </xf>
    <xf numFmtId="0" fontId="19" fillId="9" borderId="0" xfId="0" applyFont="1" applyFill="1" applyBorder="1" applyAlignment="1">
      <alignment horizontal="center" vertical="center" wrapText="1"/>
    </xf>
    <xf numFmtId="0" fontId="23" fillId="8" borderId="0" xfId="0" applyFont="1" applyFill="1" applyAlignment="1">
      <alignment horizontal="center" vertical="center"/>
    </xf>
    <xf numFmtId="0" fontId="39" fillId="0" borderId="0" xfId="0" applyFont="1" applyFill="1" applyBorder="1" applyAlignment="1">
      <alignment horizontal="center" vertical="center" wrapText="1"/>
    </xf>
    <xf numFmtId="0" fontId="23" fillId="8" borderId="0" xfId="0" applyFont="1" applyFill="1" applyBorder="1" applyAlignment="1">
      <alignment horizontal="center" vertical="center" wrapText="1"/>
    </xf>
    <xf numFmtId="0" fontId="36" fillId="9" borderId="0" xfId="0" applyFont="1" applyFill="1" applyBorder="1" applyAlignment="1">
      <alignment horizontal="center" vertical="center" wrapText="1"/>
    </xf>
    <xf numFmtId="0" fontId="36" fillId="9" borderId="0" xfId="0" applyFont="1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5" fillId="16" borderId="0" xfId="0" applyFont="1" applyFill="1" applyBorder="1" applyAlignment="1">
      <alignment horizontal="center" vertical="center" wrapText="1"/>
    </xf>
    <xf numFmtId="0" fontId="5" fillId="16" borderId="0" xfId="0" applyFont="1" applyFill="1" applyAlignment="1">
      <alignment horizontal="center" vertical="center" wrapText="1"/>
    </xf>
    <xf numFmtId="0" fontId="9" fillId="11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37" fillId="0" borderId="0" xfId="0" applyFont="1" applyBorder="1" applyAlignment="1">
      <alignment horizontal="center" vertical="center" wrapText="1"/>
    </xf>
    <xf numFmtId="0" fontId="3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36" fillId="15" borderId="0" xfId="0" applyFont="1" applyFill="1" applyBorder="1" applyAlignment="1">
      <alignment horizontal="center" vertical="center" wrapText="1"/>
    </xf>
    <xf numFmtId="0" fontId="36" fillId="11" borderId="0" xfId="0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/>
    </xf>
    <xf numFmtId="0" fontId="20" fillId="15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19" fillId="15" borderId="0" xfId="0" applyFont="1" applyFill="1" applyBorder="1" applyAlignment="1">
      <alignment horizontal="center" vertical="center" wrapText="1"/>
    </xf>
    <xf numFmtId="0" fontId="20" fillId="16" borderId="5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36" fillId="22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4" fillId="20" borderId="0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5" fillId="8" borderId="22" xfId="0" applyFont="1" applyFill="1" applyBorder="1" applyAlignment="1">
      <alignment horizontal="center" vertical="center" wrapText="1"/>
    </xf>
    <xf numFmtId="0" fontId="14" fillId="11" borderId="0" xfId="0" applyFont="1" applyFill="1" applyBorder="1" applyAlignment="1">
      <alignment horizontal="center" vertical="center" wrapText="1"/>
    </xf>
    <xf numFmtId="0" fontId="23" fillId="8" borderId="0" xfId="0" applyFont="1" applyFill="1" applyBorder="1" applyAlignment="1">
      <alignment horizontal="center" vertical="center"/>
    </xf>
    <xf numFmtId="0" fontId="23" fillId="8" borderId="13" xfId="0" applyFont="1" applyFill="1" applyBorder="1" applyAlignment="1">
      <alignment horizontal="center" vertical="center" wrapText="1"/>
    </xf>
    <xf numFmtId="0" fontId="37" fillId="0" borderId="5" xfId="0" applyFont="1" applyFill="1" applyBorder="1" applyAlignment="1">
      <alignment horizontal="center" vertical="center" wrapText="1"/>
    </xf>
    <xf numFmtId="0" fontId="32" fillId="11" borderId="0" xfId="0" applyFont="1" applyFill="1" applyBorder="1" applyAlignment="1">
      <alignment horizontal="center" vertical="center" wrapText="1"/>
    </xf>
    <xf numFmtId="0" fontId="34" fillId="11" borderId="0" xfId="0" applyFont="1" applyFill="1" applyBorder="1" applyAlignment="1">
      <alignment horizontal="center" vertical="center" wrapText="1"/>
    </xf>
    <xf numFmtId="0" fontId="34" fillId="11" borderId="0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 wrapText="1"/>
    </xf>
    <xf numFmtId="0" fontId="30" fillId="11" borderId="0" xfId="0" applyFont="1" applyFill="1" applyBorder="1" applyAlignment="1">
      <alignment horizontal="center" vertical="center" wrapText="1"/>
    </xf>
    <xf numFmtId="0" fontId="0" fillId="21" borderId="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/>
    </xf>
    <xf numFmtId="0" fontId="39" fillId="16" borderId="22" xfId="0" applyFont="1" applyFill="1" applyBorder="1" applyAlignment="1">
      <alignment horizontal="center" vertical="center" wrapText="1"/>
    </xf>
    <xf numFmtId="0" fontId="9" fillId="17" borderId="0" xfId="0" applyFont="1" applyFill="1" applyBorder="1" applyAlignment="1">
      <alignment horizontal="center" vertical="center" wrapText="1"/>
    </xf>
    <xf numFmtId="0" fontId="25" fillId="16" borderId="22" xfId="0" applyFont="1" applyFill="1" applyBorder="1" applyAlignment="1">
      <alignment horizontal="center" vertical="center" wrapText="1"/>
    </xf>
    <xf numFmtId="0" fontId="13" fillId="11" borderId="0" xfId="0" applyFont="1" applyFill="1" applyBorder="1" applyAlignment="1">
      <alignment horizontal="center" vertical="center" wrapText="1"/>
    </xf>
    <xf numFmtId="0" fontId="13" fillId="11" borderId="0" xfId="0" applyFont="1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 wrapText="1"/>
    </xf>
    <xf numFmtId="0" fontId="16" fillId="11" borderId="0" xfId="0" applyFont="1" applyFill="1" applyBorder="1" applyAlignment="1">
      <alignment horizontal="center" vertical="center" wrapText="1"/>
    </xf>
    <xf numFmtId="0" fontId="0" fillId="19" borderId="0" xfId="0" applyFill="1" applyBorder="1" applyAlignment="1">
      <alignment horizontal="center" vertical="center" wrapText="1"/>
    </xf>
    <xf numFmtId="0" fontId="0" fillId="16" borderId="22" xfId="0" applyFill="1" applyBorder="1" applyAlignment="1">
      <alignment horizontal="center" vertical="center" wrapText="1"/>
    </xf>
    <xf numFmtId="0" fontId="0" fillId="16" borderId="2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25" fillId="8" borderId="0" xfId="0" applyFont="1" applyFill="1" applyBorder="1" applyAlignment="1">
      <alignment horizontal="center" vertical="center" wrapText="1"/>
    </xf>
    <xf numFmtId="0" fontId="9" fillId="11" borderId="22" xfId="0" applyFont="1" applyFill="1" applyBorder="1" applyAlignment="1">
      <alignment horizontal="center" vertical="center" wrapText="1"/>
    </xf>
    <xf numFmtId="0" fontId="9" fillId="18" borderId="0" xfId="0" applyFont="1" applyFill="1" applyBorder="1" applyAlignment="1">
      <alignment horizontal="center" vertical="center" wrapText="1"/>
    </xf>
    <xf numFmtId="0" fontId="0" fillId="11" borderId="0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 wrapText="1"/>
    </xf>
    <xf numFmtId="0" fontId="19" fillId="9" borderId="0" xfId="0" applyFont="1" applyFill="1" applyBorder="1" applyAlignment="1">
      <alignment horizontal="center" vertical="center"/>
    </xf>
    <xf numFmtId="0" fontId="18" fillId="11" borderId="0" xfId="0" applyFont="1" applyFill="1" applyBorder="1" applyAlignment="1">
      <alignment horizontal="center" vertical="center" wrapText="1"/>
    </xf>
    <xf numFmtId="0" fontId="27" fillId="11" borderId="0" xfId="0" applyFont="1" applyFill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 wrapText="1"/>
    </xf>
    <xf numFmtId="0" fontId="36" fillId="0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/>
    <xf numFmtId="0" fontId="43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</cellXfs>
  <cellStyles count="3">
    <cellStyle name="Lien hypertexte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8837"/>
      <color rgb="FFFF6600"/>
      <color rgb="FFFFFFFF"/>
      <color rgb="FF66FFCC"/>
      <color rgb="FF00FF99"/>
      <color rgb="FFFF00FF"/>
      <color rgb="FFFF66FF"/>
      <color rgb="FF33CCFF"/>
      <color rgb="FFFA06B4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ites.google.com/view/fm4b-lab/contact-us" TargetMode="Externa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sites.google.com/view/fm4b-lab/contact-us" TargetMode="External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sites.google.com/view/fm4b-lab/contact-us" TargetMode="External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0445-4DE6-4F4C-8FC4-AF0DD67527FF}">
  <sheetPr>
    <pageSetUpPr fitToPage="1"/>
  </sheetPr>
  <dimension ref="A1:BN48"/>
  <sheetViews>
    <sheetView tabSelected="1" topLeftCell="C1" zoomScale="55" zoomScaleNormal="55" workbookViewId="0">
      <pane ySplit="2" topLeftCell="A11" activePane="bottomLeft" state="frozen"/>
      <selection pane="bottomLeft" activeCell="AA27" sqref="AA27:AE27"/>
    </sheetView>
  </sheetViews>
  <sheetFormatPr baseColWidth="10" defaultColWidth="11.5703125" defaultRowHeight="15" x14ac:dyDescent="0.25"/>
  <cols>
    <col min="1" max="1" width="8.85546875" style="152" customWidth="1"/>
    <col min="2" max="3" width="9" style="152" customWidth="1"/>
    <col min="4" max="4" width="11.7109375" style="5" customWidth="1"/>
    <col min="5" max="5" width="5.85546875" style="152" bestFit="1" customWidth="1"/>
    <col min="6" max="8" width="10.5703125" style="152" customWidth="1"/>
    <col min="9" max="10" width="8" style="152" bestFit="1" customWidth="1"/>
    <col min="11" max="14" width="10.5703125" style="152" customWidth="1"/>
    <col min="15" max="15" width="11" style="152" customWidth="1"/>
    <col min="16" max="16" width="5.85546875" style="152" bestFit="1" customWidth="1"/>
    <col min="17" max="19" width="10.5703125" style="152" customWidth="1"/>
    <col min="20" max="21" width="8" style="152" bestFit="1" customWidth="1"/>
    <col min="22" max="25" width="10.5703125" style="152" customWidth="1"/>
    <col min="26" max="26" width="11.7109375" style="152" customWidth="1"/>
    <col min="27" max="27" width="5.85546875" style="152" bestFit="1" customWidth="1"/>
    <col min="28" max="28" width="10.5703125" style="152" customWidth="1"/>
    <col min="29" max="29" width="11.140625" style="152" customWidth="1"/>
    <col min="30" max="30" width="10.5703125" style="152" customWidth="1"/>
    <col min="31" max="32" width="8" style="152" bestFit="1" customWidth="1"/>
    <col min="33" max="36" width="10.5703125" style="152" customWidth="1"/>
    <col min="37" max="37" width="12" style="152" customWidth="1"/>
    <col min="38" max="38" width="8.42578125" style="152" bestFit="1" customWidth="1"/>
    <col min="39" max="41" width="10.5703125" style="152" customWidth="1"/>
    <col min="42" max="42" width="10.28515625" style="152" bestFit="1" customWidth="1"/>
    <col min="43" max="47" width="10.5703125" style="152" customWidth="1"/>
    <col min="48" max="48" width="11.42578125" style="152" customWidth="1"/>
    <col min="49" max="49" width="5.85546875" style="152" bestFit="1" customWidth="1"/>
    <col min="50" max="52" width="10.5703125" style="152" customWidth="1"/>
    <col min="53" max="53" width="9" style="152" customWidth="1"/>
    <col min="54" max="54" width="8" style="152" customWidth="1"/>
    <col min="55" max="56" width="10.5703125" style="152" customWidth="1"/>
    <col min="57" max="57" width="14.28515625" style="152" customWidth="1"/>
    <col min="58" max="58" width="11.5703125" style="152" customWidth="1"/>
    <col min="59" max="16384" width="11.5703125" style="152"/>
  </cols>
  <sheetData>
    <row r="1" spans="1:66" ht="15.75" thickBot="1" x14ac:dyDescent="0.3">
      <c r="D1" s="153" t="s">
        <v>0</v>
      </c>
      <c r="E1" s="153"/>
      <c r="F1" s="153"/>
      <c r="G1" s="153"/>
      <c r="H1" s="153"/>
      <c r="I1" s="153"/>
      <c r="J1" s="153"/>
      <c r="K1" s="153"/>
      <c r="L1" s="153"/>
      <c r="M1" s="153"/>
      <c r="N1" s="148"/>
      <c r="O1" s="154" t="s">
        <v>1</v>
      </c>
      <c r="P1" s="154"/>
      <c r="Q1" s="154"/>
      <c r="R1" s="154"/>
      <c r="S1" s="154"/>
      <c r="T1" s="154"/>
      <c r="U1" s="154"/>
      <c r="V1" s="154"/>
      <c r="W1" s="154"/>
      <c r="X1" s="154"/>
      <c r="Y1" s="149"/>
      <c r="Z1" s="155" t="s">
        <v>2</v>
      </c>
      <c r="AA1" s="155"/>
      <c r="AB1" s="155"/>
      <c r="AC1" s="155"/>
      <c r="AD1" s="155"/>
      <c r="AE1" s="155"/>
      <c r="AF1" s="155"/>
      <c r="AG1" s="155"/>
      <c r="AH1" s="155"/>
      <c r="AI1" s="155"/>
      <c r="AJ1" s="150"/>
      <c r="AK1" s="156" t="s">
        <v>3</v>
      </c>
      <c r="AL1" s="156"/>
      <c r="AM1" s="156"/>
      <c r="AN1" s="156"/>
      <c r="AO1" s="156"/>
      <c r="AP1" s="156"/>
      <c r="AQ1" s="156"/>
      <c r="AR1" s="156"/>
      <c r="AS1" s="156"/>
      <c r="AT1" s="156"/>
      <c r="AU1" s="151"/>
      <c r="AV1" s="157" t="s">
        <v>4</v>
      </c>
      <c r="AW1" s="157"/>
      <c r="AX1" s="157"/>
      <c r="AY1" s="157"/>
      <c r="AZ1" s="157"/>
      <c r="BA1" s="157"/>
      <c r="BB1" s="157"/>
      <c r="BC1" s="157"/>
      <c r="BD1" s="157"/>
      <c r="BE1" s="157"/>
    </row>
    <row r="2" spans="1:66" ht="48.75" thickBot="1" x14ac:dyDescent="0.3">
      <c r="C2" s="7" t="s">
        <v>45</v>
      </c>
      <c r="D2" s="1" t="s">
        <v>5</v>
      </c>
      <c r="E2" s="8" t="s">
        <v>16</v>
      </c>
      <c r="F2" s="9" t="s">
        <v>17</v>
      </c>
      <c r="G2" s="9" t="s">
        <v>18</v>
      </c>
      <c r="H2" s="9" t="s">
        <v>19</v>
      </c>
      <c r="I2" s="9" t="s">
        <v>24</v>
      </c>
      <c r="J2" s="9" t="s">
        <v>20</v>
      </c>
      <c r="K2" s="9" t="s">
        <v>21</v>
      </c>
      <c r="L2" s="10" t="s">
        <v>22</v>
      </c>
      <c r="M2" s="11" t="s">
        <v>23</v>
      </c>
      <c r="N2" s="12" t="s">
        <v>25</v>
      </c>
      <c r="O2" s="2" t="s">
        <v>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24</v>
      </c>
      <c r="U2" s="9" t="s">
        <v>20</v>
      </c>
      <c r="V2" s="9" t="s">
        <v>21</v>
      </c>
      <c r="W2" s="10" t="s">
        <v>22</v>
      </c>
      <c r="X2" s="11" t="s">
        <v>23</v>
      </c>
      <c r="Y2" s="12" t="s">
        <v>25</v>
      </c>
      <c r="Z2" s="3" t="s">
        <v>5</v>
      </c>
      <c r="AA2" s="9" t="s">
        <v>16</v>
      </c>
      <c r="AB2" s="9" t="s">
        <v>17</v>
      </c>
      <c r="AC2" s="9" t="s">
        <v>18</v>
      </c>
      <c r="AD2" s="9" t="s">
        <v>19</v>
      </c>
      <c r="AE2" s="9" t="s">
        <v>24</v>
      </c>
      <c r="AF2" s="9" t="s">
        <v>20</v>
      </c>
      <c r="AG2" s="9" t="s">
        <v>21</v>
      </c>
      <c r="AH2" s="10" t="s">
        <v>22</v>
      </c>
      <c r="AI2" s="11" t="s">
        <v>23</v>
      </c>
      <c r="AJ2" s="12" t="s">
        <v>25</v>
      </c>
      <c r="AK2" s="3" t="s">
        <v>5</v>
      </c>
      <c r="AL2" s="9" t="s">
        <v>16</v>
      </c>
      <c r="AM2" s="9" t="s">
        <v>17</v>
      </c>
      <c r="AN2" s="9" t="s">
        <v>18</v>
      </c>
      <c r="AO2" s="9" t="s">
        <v>19</v>
      </c>
      <c r="AP2" s="9" t="s">
        <v>24</v>
      </c>
      <c r="AQ2" s="9" t="s">
        <v>20</v>
      </c>
      <c r="AR2" s="9" t="s">
        <v>21</v>
      </c>
      <c r="AS2" s="10" t="s">
        <v>22</v>
      </c>
      <c r="AT2" s="11" t="s">
        <v>23</v>
      </c>
      <c r="AU2" s="12" t="s">
        <v>25</v>
      </c>
      <c r="AV2" s="3" t="s">
        <v>5</v>
      </c>
      <c r="AW2" s="9" t="s">
        <v>16</v>
      </c>
      <c r="AX2" s="9" t="s">
        <v>17</v>
      </c>
      <c r="AY2" s="9" t="s">
        <v>18</v>
      </c>
      <c r="AZ2" s="9" t="s">
        <v>19</v>
      </c>
      <c r="BA2" s="9" t="s">
        <v>24</v>
      </c>
      <c r="BB2" s="9" t="s">
        <v>20</v>
      </c>
      <c r="BC2" s="9" t="s">
        <v>21</v>
      </c>
      <c r="BD2" s="10" t="s">
        <v>22</v>
      </c>
      <c r="BE2" s="126" t="s">
        <v>23</v>
      </c>
      <c r="BF2" s="14" t="s">
        <v>40</v>
      </c>
    </row>
    <row r="3" spans="1:66" x14ac:dyDescent="0.25">
      <c r="A3" s="15">
        <v>45893</v>
      </c>
      <c r="B3" s="15">
        <f>A3+4</f>
        <v>45897</v>
      </c>
      <c r="D3" s="16">
        <f t="shared" ref="D3:D27" si="0">A3</f>
        <v>45893</v>
      </c>
      <c r="E3" s="17"/>
      <c r="F3" s="17"/>
      <c r="G3" s="17"/>
      <c r="H3" s="17"/>
      <c r="I3" s="17"/>
      <c r="J3" s="17"/>
      <c r="K3" s="17"/>
      <c r="L3" s="17"/>
      <c r="M3" s="17"/>
      <c r="N3" s="18"/>
      <c r="O3" s="19">
        <f>A3+1</f>
        <v>45894</v>
      </c>
      <c r="P3" s="17"/>
      <c r="Q3" s="17"/>
      <c r="R3" s="17"/>
      <c r="S3" s="17"/>
      <c r="T3" s="17"/>
      <c r="U3" s="17"/>
      <c r="V3" s="17"/>
      <c r="W3" s="17"/>
      <c r="X3" s="17"/>
      <c r="Y3" s="17"/>
      <c r="Z3" s="19">
        <f>A3+2</f>
        <v>45895</v>
      </c>
      <c r="AA3" s="17"/>
      <c r="AB3" s="17"/>
      <c r="AC3" s="17"/>
      <c r="AD3" s="17"/>
      <c r="AE3" s="145"/>
      <c r="AF3" s="17"/>
      <c r="AG3" s="17"/>
      <c r="AH3" s="17"/>
      <c r="AI3" s="17"/>
      <c r="AJ3" s="17"/>
      <c r="AK3" s="19">
        <f>A3+3</f>
        <v>45896</v>
      </c>
      <c r="AL3" s="17"/>
      <c r="AM3" s="17"/>
      <c r="AN3" s="17"/>
      <c r="AO3" s="17"/>
      <c r="AP3" s="17"/>
      <c r="AQ3" s="17"/>
      <c r="AR3" s="20"/>
      <c r="AS3" s="20"/>
      <c r="AT3" s="20"/>
      <c r="AU3" s="17"/>
      <c r="AV3" s="19">
        <f>A3+4</f>
        <v>45897</v>
      </c>
      <c r="AW3" s="17"/>
      <c r="AX3" s="17"/>
      <c r="AY3" s="17"/>
      <c r="AZ3" s="17"/>
      <c r="BA3" s="17"/>
      <c r="BB3" s="145"/>
      <c r="BC3" s="145"/>
      <c r="BD3" s="145"/>
      <c r="BE3" s="21"/>
      <c r="BF3" s="22"/>
    </row>
    <row r="4" spans="1:66" ht="85.5" customHeight="1" x14ac:dyDescent="0.25">
      <c r="A4" s="15">
        <f>B3+3</f>
        <v>45900</v>
      </c>
      <c r="B4" s="15">
        <f t="shared" ref="B4:B27" si="1">A4+4</f>
        <v>45904</v>
      </c>
      <c r="C4" s="23"/>
      <c r="D4" s="24">
        <f t="shared" si="0"/>
        <v>45900</v>
      </c>
      <c r="E4" s="17"/>
      <c r="F4" s="17"/>
      <c r="I4" s="145"/>
      <c r="J4" s="145"/>
      <c r="M4" s="135"/>
      <c r="O4" s="19">
        <f>O3+7</f>
        <v>45901</v>
      </c>
      <c r="P4" s="145"/>
      <c r="T4" s="145"/>
      <c r="U4" s="145"/>
      <c r="V4" s="158" t="s">
        <v>28</v>
      </c>
      <c r="W4" s="158"/>
      <c r="X4" s="158"/>
      <c r="Y4" s="145"/>
      <c r="Z4" s="19">
        <f>Z3+7</f>
        <v>45902</v>
      </c>
      <c r="AA4" s="17"/>
      <c r="AB4" s="17"/>
      <c r="AC4" s="159" t="s">
        <v>79</v>
      </c>
      <c r="AD4" s="159"/>
      <c r="AE4" s="17"/>
      <c r="AG4" s="160" t="s">
        <v>164</v>
      </c>
      <c r="AH4" s="160"/>
      <c r="AI4" s="160"/>
      <c r="AJ4" s="17"/>
      <c r="AK4" s="19">
        <f>AK3+7</f>
        <v>45903</v>
      </c>
      <c r="AL4" s="17"/>
      <c r="AM4" s="161" t="s">
        <v>32</v>
      </c>
      <c r="AN4" s="162"/>
      <c r="AO4" s="162"/>
      <c r="AP4" s="17"/>
      <c r="AR4" s="160" t="s">
        <v>164</v>
      </c>
      <c r="AS4" s="160"/>
      <c r="AT4" s="160"/>
      <c r="AU4" s="39" t="s">
        <v>161</v>
      </c>
      <c r="AV4" s="19">
        <f>AV3+7</f>
        <v>45904</v>
      </c>
      <c r="AW4" s="17"/>
      <c r="AX4" s="158" t="s">
        <v>27</v>
      </c>
      <c r="AY4" s="158"/>
      <c r="AZ4" s="158"/>
      <c r="BA4" s="17"/>
      <c r="BB4" s="17"/>
      <c r="BC4" s="17"/>
      <c r="BD4" s="17"/>
      <c r="BE4" s="17"/>
      <c r="BF4" s="52"/>
      <c r="BH4" s="164" t="s">
        <v>46</v>
      </c>
      <c r="BI4" s="165"/>
      <c r="BJ4" s="165"/>
      <c r="BK4" s="165"/>
    </row>
    <row r="5" spans="1:66" ht="70.900000000000006" customHeight="1" x14ac:dyDescent="0.25">
      <c r="A5" s="15">
        <f t="shared" ref="A5:A26" si="2">B4+3</f>
        <v>45907</v>
      </c>
      <c r="B5" s="15">
        <f t="shared" si="1"/>
        <v>45911</v>
      </c>
      <c r="D5" s="24">
        <f t="shared" si="0"/>
        <v>45907</v>
      </c>
      <c r="E5" s="166" t="s">
        <v>43</v>
      </c>
      <c r="F5" s="166"/>
      <c r="G5" s="166"/>
      <c r="H5" s="166"/>
      <c r="I5" s="25"/>
      <c r="J5" s="166" t="s">
        <v>43</v>
      </c>
      <c r="K5" s="166"/>
      <c r="L5" s="166"/>
      <c r="M5" s="166"/>
      <c r="N5" s="166"/>
      <c r="O5" s="19">
        <f t="shared" ref="O5:O26" si="3">O4+7</f>
        <v>45908</v>
      </c>
      <c r="T5" s="25"/>
      <c r="V5" s="167" t="s">
        <v>142</v>
      </c>
      <c r="W5" s="167"/>
      <c r="X5" s="167"/>
      <c r="Y5" s="167"/>
      <c r="Z5" s="19">
        <f t="shared" ref="Z5:Z26" si="4">Z4+7</f>
        <v>45909</v>
      </c>
      <c r="AA5" s="17"/>
      <c r="AB5" s="161" t="s">
        <v>32</v>
      </c>
      <c r="AC5" s="162"/>
      <c r="AD5" s="162"/>
      <c r="AE5" s="17"/>
      <c r="AF5" s="17"/>
      <c r="AG5" s="160" t="s">
        <v>227</v>
      </c>
      <c r="AH5" s="160"/>
      <c r="AI5" s="160"/>
      <c r="AJ5" s="160"/>
      <c r="AK5" s="19">
        <f t="shared" ref="AK5:AK26" si="5">AK4+7</f>
        <v>45910</v>
      </c>
      <c r="AL5" s="152" t="s">
        <v>26</v>
      </c>
      <c r="AM5" s="164" t="s">
        <v>61</v>
      </c>
      <c r="AN5" s="164"/>
      <c r="AO5" s="164"/>
      <c r="AP5" s="90" t="s">
        <v>26</v>
      </c>
      <c r="AQ5" s="164" t="s">
        <v>186</v>
      </c>
      <c r="AR5" s="164"/>
      <c r="AS5" s="161" t="s">
        <v>205</v>
      </c>
      <c r="AT5" s="161"/>
      <c r="AU5" s="161"/>
      <c r="AV5" s="19">
        <f t="shared" ref="AV5:AV26" si="6">AV4+7</f>
        <v>45911</v>
      </c>
      <c r="AW5" s="158" t="s">
        <v>27</v>
      </c>
      <c r="AX5" s="158"/>
      <c r="AY5" s="158" t="s">
        <v>28</v>
      </c>
      <c r="AZ5" s="158"/>
      <c r="BB5" s="17"/>
      <c r="BC5" s="17"/>
      <c r="BD5" s="17"/>
      <c r="BE5" s="17"/>
      <c r="BF5" s="52"/>
      <c r="BH5" s="161" t="s">
        <v>51</v>
      </c>
      <c r="BI5" s="162"/>
      <c r="BJ5" s="162"/>
      <c r="BK5" s="145"/>
      <c r="BL5" s="161" t="s">
        <v>51</v>
      </c>
      <c r="BM5" s="162"/>
      <c r="BN5" s="162"/>
    </row>
    <row r="6" spans="1:66" ht="79.900000000000006" customHeight="1" x14ac:dyDescent="0.25">
      <c r="A6" s="15">
        <f t="shared" si="2"/>
        <v>45914</v>
      </c>
      <c r="B6" s="15">
        <f t="shared" si="1"/>
        <v>45918</v>
      </c>
      <c r="D6" s="24">
        <f t="shared" si="0"/>
        <v>45914</v>
      </c>
      <c r="E6" s="17"/>
      <c r="F6" s="158" t="s">
        <v>27</v>
      </c>
      <c r="G6" s="158"/>
      <c r="H6" s="158"/>
      <c r="I6" s="17"/>
      <c r="J6" s="145"/>
      <c r="K6" s="145"/>
      <c r="L6" s="145"/>
      <c r="M6" s="145"/>
      <c r="N6" s="17"/>
      <c r="O6" s="19">
        <f t="shared" si="3"/>
        <v>45915</v>
      </c>
      <c r="P6" s="145"/>
      <c r="Q6" s="158" t="s">
        <v>184</v>
      </c>
      <c r="R6" s="163"/>
      <c r="S6" s="163"/>
      <c r="T6" s="17" t="s">
        <v>26</v>
      </c>
      <c r="U6" s="17"/>
      <c r="V6" s="158" t="s">
        <v>28</v>
      </c>
      <c r="W6" s="158"/>
      <c r="X6" s="158"/>
      <c r="Y6" s="145"/>
      <c r="Z6" s="19">
        <f t="shared" si="4"/>
        <v>45916</v>
      </c>
      <c r="AA6" s="161" t="s">
        <v>63</v>
      </c>
      <c r="AB6" s="161"/>
      <c r="AC6" s="161"/>
      <c r="AD6" s="161"/>
      <c r="AF6" s="17"/>
      <c r="AG6" s="168" t="s">
        <v>173</v>
      </c>
      <c r="AH6" s="168"/>
      <c r="AI6" s="168"/>
      <c r="AJ6" s="168"/>
      <c r="AK6" s="19">
        <f t="shared" si="5"/>
        <v>45917</v>
      </c>
      <c r="AL6" s="152" t="s">
        <v>26</v>
      </c>
      <c r="AM6" s="169" t="s">
        <v>30</v>
      </c>
      <c r="AN6" s="169"/>
      <c r="AO6" s="169"/>
      <c r="AP6" s="79"/>
      <c r="AQ6" s="169" t="s">
        <v>30</v>
      </c>
      <c r="AR6" s="169"/>
      <c r="AS6" s="169"/>
      <c r="AT6" s="17" t="s">
        <v>26</v>
      </c>
      <c r="AU6" s="17"/>
      <c r="AV6" s="19">
        <f t="shared" si="6"/>
        <v>45918</v>
      </c>
      <c r="AW6" s="17"/>
      <c r="AX6" s="170" t="s">
        <v>223</v>
      </c>
      <c r="AY6" s="170"/>
      <c r="AZ6" s="170"/>
      <c r="BA6" s="94"/>
      <c r="BB6" s="171" t="s">
        <v>68</v>
      </c>
      <c r="BC6" s="171"/>
      <c r="BD6" s="17"/>
      <c r="BE6" s="17"/>
      <c r="BF6" s="52"/>
      <c r="BH6" s="161" t="s">
        <v>84</v>
      </c>
      <c r="BI6" s="161"/>
      <c r="BJ6" s="161"/>
    </row>
    <row r="7" spans="1:66" ht="60" customHeight="1" x14ac:dyDescent="0.25">
      <c r="A7" s="15">
        <f t="shared" si="2"/>
        <v>45921</v>
      </c>
      <c r="B7" s="15">
        <f t="shared" si="1"/>
        <v>45925</v>
      </c>
      <c r="C7" s="26" t="s">
        <v>39</v>
      </c>
      <c r="D7" s="24">
        <f t="shared" si="0"/>
        <v>45921</v>
      </c>
      <c r="E7" s="17"/>
      <c r="F7" s="158" t="s">
        <v>27</v>
      </c>
      <c r="G7" s="158"/>
      <c r="H7" s="158"/>
      <c r="I7" s="17"/>
      <c r="J7" s="17"/>
      <c r="K7" s="173" t="s">
        <v>179</v>
      </c>
      <c r="L7" s="173"/>
      <c r="M7" s="173"/>
      <c r="N7" s="17" t="s">
        <v>26</v>
      </c>
      <c r="O7" s="19">
        <f t="shared" si="3"/>
        <v>45922</v>
      </c>
      <c r="P7" s="145"/>
      <c r="Q7" s="172" t="s">
        <v>210</v>
      </c>
      <c r="R7" s="172"/>
      <c r="S7" s="172"/>
      <c r="T7" s="17"/>
      <c r="V7" s="158" t="s">
        <v>28</v>
      </c>
      <c r="W7" s="158"/>
      <c r="X7" s="158"/>
      <c r="Y7" s="145"/>
      <c r="Z7" s="19">
        <f t="shared" si="4"/>
        <v>45923</v>
      </c>
      <c r="AA7" s="26" t="s">
        <v>26</v>
      </c>
      <c r="AB7" s="171" t="s">
        <v>66</v>
      </c>
      <c r="AC7" s="171"/>
      <c r="AD7" s="171"/>
      <c r="AE7" s="26"/>
      <c r="AF7" s="171" t="s">
        <v>65</v>
      </c>
      <c r="AG7" s="171"/>
      <c r="AH7" s="171"/>
      <c r="AI7" s="26" t="s">
        <v>26</v>
      </c>
      <c r="AJ7" s="26"/>
      <c r="AK7" s="19">
        <f t="shared" si="5"/>
        <v>45924</v>
      </c>
      <c r="AL7" s="26" t="s">
        <v>26</v>
      </c>
      <c r="AM7" s="171" t="s">
        <v>65</v>
      </c>
      <c r="AN7" s="171"/>
      <c r="AO7" s="171"/>
      <c r="AP7" s="26"/>
      <c r="AQ7" s="171" t="s">
        <v>65</v>
      </c>
      <c r="AR7" s="171"/>
      <c r="AS7" s="171"/>
      <c r="AT7" s="26" t="s">
        <v>26</v>
      </c>
      <c r="AU7" s="26"/>
      <c r="AV7" s="19">
        <f t="shared" si="6"/>
        <v>45925</v>
      </c>
      <c r="AW7" s="90"/>
      <c r="AX7" s="170" t="s">
        <v>223</v>
      </c>
      <c r="AY7" s="170"/>
      <c r="AZ7" s="170"/>
      <c r="BA7" s="90"/>
      <c r="BB7" s="90"/>
      <c r="BC7" s="172" t="s">
        <v>210</v>
      </c>
      <c r="BD7" s="172"/>
      <c r="BE7" s="172"/>
      <c r="BF7" s="123" t="s">
        <v>39</v>
      </c>
    </row>
    <row r="8" spans="1:66" ht="90.6" customHeight="1" x14ac:dyDescent="0.25">
      <c r="A8" s="15">
        <f t="shared" si="2"/>
        <v>45928</v>
      </c>
      <c r="B8" s="15">
        <f t="shared" si="1"/>
        <v>45932</v>
      </c>
      <c r="D8" s="24">
        <f t="shared" si="0"/>
        <v>45928</v>
      </c>
      <c r="E8" s="17"/>
      <c r="F8" s="158" t="s">
        <v>27</v>
      </c>
      <c r="G8" s="158"/>
      <c r="H8" s="158"/>
      <c r="I8" s="17"/>
      <c r="J8" s="17"/>
      <c r="K8" s="170" t="s">
        <v>60</v>
      </c>
      <c r="L8" s="170"/>
      <c r="M8" s="170"/>
      <c r="N8" s="17"/>
      <c r="O8" s="19">
        <f t="shared" si="3"/>
        <v>45929</v>
      </c>
      <c r="P8" s="17"/>
      <c r="Q8" s="158" t="s">
        <v>154</v>
      </c>
      <c r="R8" s="163"/>
      <c r="S8" s="163"/>
      <c r="T8" s="17"/>
      <c r="U8" s="17"/>
      <c r="V8" s="172" t="s">
        <v>210</v>
      </c>
      <c r="W8" s="172"/>
      <c r="X8" s="172"/>
      <c r="Y8" s="145"/>
      <c r="Z8" s="19">
        <f t="shared" si="4"/>
        <v>45930</v>
      </c>
      <c r="AB8" s="152" t="s">
        <v>26</v>
      </c>
      <c r="AC8" s="164" t="s">
        <v>46</v>
      </c>
      <c r="AD8" s="164"/>
      <c r="AE8" s="164"/>
      <c r="AF8" s="17"/>
      <c r="AG8" s="172" t="s">
        <v>210</v>
      </c>
      <c r="AH8" s="172"/>
      <c r="AI8" s="172"/>
      <c r="AJ8" s="17"/>
      <c r="AK8" s="19">
        <f t="shared" si="5"/>
        <v>45931</v>
      </c>
      <c r="AL8" s="152" t="s">
        <v>26</v>
      </c>
      <c r="AM8" s="169" t="s">
        <v>30</v>
      </c>
      <c r="AN8" s="169"/>
      <c r="AO8" s="169"/>
      <c r="AP8" s="79"/>
      <c r="AQ8" s="169" t="s">
        <v>30</v>
      </c>
      <c r="AR8" s="169"/>
      <c r="AS8" s="169"/>
      <c r="AT8" s="169"/>
      <c r="AU8" s="17" t="s">
        <v>182</v>
      </c>
      <c r="AV8" s="19">
        <f t="shared" si="6"/>
        <v>45932</v>
      </c>
      <c r="AW8" s="90"/>
      <c r="AX8" s="170" t="s">
        <v>223</v>
      </c>
      <c r="AY8" s="170"/>
      <c r="AZ8" s="170"/>
      <c r="BA8" s="170"/>
      <c r="BB8" s="90"/>
      <c r="BC8" s="158" t="s">
        <v>28</v>
      </c>
      <c r="BD8" s="158"/>
      <c r="BE8" s="158"/>
      <c r="BF8" s="52"/>
      <c r="BH8" s="160" t="s">
        <v>75</v>
      </c>
      <c r="BI8" s="160"/>
      <c r="BJ8" s="160"/>
      <c r="BK8" s="160"/>
      <c r="BL8" s="152" t="s">
        <v>160</v>
      </c>
    </row>
    <row r="9" spans="1:66" ht="89.25" customHeight="1" x14ac:dyDescent="0.25">
      <c r="A9" s="15">
        <f t="shared" si="2"/>
        <v>45935</v>
      </c>
      <c r="B9" s="15">
        <f t="shared" si="1"/>
        <v>45939</v>
      </c>
      <c r="D9" s="24">
        <f t="shared" si="0"/>
        <v>45935</v>
      </c>
      <c r="E9" s="17"/>
      <c r="F9" s="158" t="s">
        <v>27</v>
      </c>
      <c r="G9" s="158"/>
      <c r="H9" s="158"/>
      <c r="I9" s="17"/>
      <c r="J9" s="17"/>
      <c r="K9" s="173" t="s">
        <v>179</v>
      </c>
      <c r="L9" s="173"/>
      <c r="M9" s="173"/>
      <c r="N9" s="17" t="s">
        <v>26</v>
      </c>
      <c r="O9" s="19">
        <f t="shared" si="3"/>
        <v>45936</v>
      </c>
      <c r="P9" s="17"/>
      <c r="Q9" s="158" t="s">
        <v>154</v>
      </c>
      <c r="R9" s="163"/>
      <c r="S9" s="163"/>
      <c r="T9" s="17"/>
      <c r="U9" s="17"/>
      <c r="V9" s="158" t="s">
        <v>28</v>
      </c>
      <c r="W9" s="158"/>
      <c r="X9" s="158"/>
      <c r="Y9" s="145"/>
      <c r="Z9" s="19">
        <f t="shared" si="4"/>
        <v>45937</v>
      </c>
      <c r="AA9" s="28"/>
      <c r="AB9" s="172" t="s">
        <v>68</v>
      </c>
      <c r="AC9" s="172"/>
      <c r="AD9" s="172"/>
      <c r="AE9" s="28"/>
      <c r="AF9" s="28"/>
      <c r="AG9" s="172" t="s">
        <v>68</v>
      </c>
      <c r="AH9" s="172"/>
      <c r="AI9" s="172"/>
      <c r="AJ9" s="17"/>
      <c r="AK9" s="19">
        <f t="shared" si="5"/>
        <v>45938</v>
      </c>
      <c r="AL9" s="175" t="s">
        <v>200</v>
      </c>
      <c r="AM9" s="175"/>
      <c r="AN9" s="175"/>
      <c r="AO9" s="175"/>
      <c r="AP9" s="152" t="s">
        <v>191</v>
      </c>
      <c r="AR9" s="169" t="s">
        <v>168</v>
      </c>
      <c r="AS9" s="169"/>
      <c r="AT9" s="169"/>
      <c r="AU9" s="17" t="s">
        <v>167</v>
      </c>
      <c r="AV9" s="19">
        <f t="shared" si="6"/>
        <v>45939</v>
      </c>
      <c r="AW9" s="53"/>
      <c r="AX9" s="170" t="s">
        <v>190</v>
      </c>
      <c r="AY9" s="170"/>
      <c r="AZ9" s="170"/>
      <c r="BA9" s="170"/>
      <c r="BB9" s="53"/>
      <c r="BC9" s="172" t="s">
        <v>210</v>
      </c>
      <c r="BD9" s="172"/>
      <c r="BE9" s="172"/>
      <c r="BF9" s="52"/>
    </row>
    <row r="10" spans="1:66" ht="73.900000000000006" customHeight="1" x14ac:dyDescent="0.25">
      <c r="A10" s="15">
        <f t="shared" si="2"/>
        <v>45942</v>
      </c>
      <c r="B10" s="15">
        <f t="shared" si="1"/>
        <v>45946</v>
      </c>
      <c r="D10" s="24">
        <f t="shared" si="0"/>
        <v>45942</v>
      </c>
      <c r="E10" s="17"/>
      <c r="F10" s="158" t="s">
        <v>27</v>
      </c>
      <c r="G10" s="158"/>
      <c r="H10" s="158"/>
      <c r="I10" s="17"/>
      <c r="J10" s="17"/>
      <c r="K10" s="170" t="s">
        <v>60</v>
      </c>
      <c r="L10" s="170"/>
      <c r="M10" s="170"/>
      <c r="N10" s="17"/>
      <c r="O10" s="19">
        <f t="shared" si="3"/>
        <v>45943</v>
      </c>
      <c r="P10" s="17"/>
      <c r="Q10" s="158" t="s">
        <v>155</v>
      </c>
      <c r="R10" s="163"/>
      <c r="S10" s="163"/>
      <c r="T10" s="17"/>
      <c r="U10" s="17"/>
      <c r="V10" s="158" t="s">
        <v>28</v>
      </c>
      <c r="W10" s="158"/>
      <c r="X10" s="158"/>
      <c r="Y10" s="17"/>
      <c r="Z10" s="19">
        <f t="shared" si="4"/>
        <v>45944</v>
      </c>
      <c r="AA10" s="168" t="s">
        <v>173</v>
      </c>
      <c r="AB10" s="168"/>
      <c r="AC10" s="168"/>
      <c r="AD10" s="168"/>
      <c r="AE10" s="28"/>
      <c r="AF10" s="28"/>
      <c r="AG10" s="172" t="s">
        <v>68</v>
      </c>
      <c r="AH10" s="172"/>
      <c r="AI10" s="172"/>
      <c r="AJ10" s="17"/>
      <c r="AK10" s="19">
        <f t="shared" si="5"/>
        <v>45945</v>
      </c>
      <c r="AL10" s="17"/>
      <c r="AM10" s="171" t="s">
        <v>219</v>
      </c>
      <c r="AN10" s="171"/>
      <c r="AO10" s="171"/>
      <c r="AP10" s="53"/>
      <c r="AQ10" s="171" t="s">
        <v>174</v>
      </c>
      <c r="AR10" s="171"/>
      <c r="AS10" s="171"/>
      <c r="AV10" s="19">
        <f t="shared" si="6"/>
        <v>45946</v>
      </c>
      <c r="AW10" s="174" t="s">
        <v>222</v>
      </c>
      <c r="AX10" s="174"/>
      <c r="AY10" s="174"/>
      <c r="AZ10" s="174"/>
      <c r="BA10" s="174"/>
      <c r="BB10" s="174"/>
      <c r="BC10" s="174"/>
      <c r="BD10" s="174"/>
      <c r="BE10" s="174"/>
      <c r="BF10" s="52"/>
    </row>
    <row r="11" spans="1:66" ht="89.25" customHeight="1" x14ac:dyDescent="0.25">
      <c r="A11" s="15">
        <f t="shared" si="2"/>
        <v>45949</v>
      </c>
      <c r="B11" s="15">
        <f t="shared" si="1"/>
        <v>45953</v>
      </c>
      <c r="C11" s="26" t="s">
        <v>39</v>
      </c>
      <c r="D11" s="24">
        <f t="shared" si="0"/>
        <v>45949</v>
      </c>
      <c r="E11" s="170" t="s">
        <v>190</v>
      </c>
      <c r="F11" s="170"/>
      <c r="G11" s="170"/>
      <c r="H11" s="170"/>
      <c r="J11" s="17"/>
      <c r="K11" s="173" t="s">
        <v>179</v>
      </c>
      <c r="L11" s="173"/>
      <c r="M11" s="173"/>
      <c r="N11" s="173"/>
      <c r="O11" s="19">
        <f t="shared" si="3"/>
        <v>45950</v>
      </c>
      <c r="Q11" s="158" t="s">
        <v>154</v>
      </c>
      <c r="R11" s="163"/>
      <c r="S11" s="163"/>
      <c r="V11" s="170" t="s">
        <v>185</v>
      </c>
      <c r="W11" s="170"/>
      <c r="X11" s="147" t="s">
        <v>180</v>
      </c>
      <c r="Y11" s="152" t="s">
        <v>26</v>
      </c>
      <c r="Z11" s="19">
        <f t="shared" si="4"/>
        <v>45951</v>
      </c>
      <c r="AA11" s="26" t="s">
        <v>26</v>
      </c>
      <c r="AB11" s="169" t="s">
        <v>47</v>
      </c>
      <c r="AC11" s="169"/>
      <c r="AD11" s="169"/>
      <c r="AE11" s="26"/>
      <c r="AF11" s="26"/>
      <c r="AG11" s="169" t="s">
        <v>48</v>
      </c>
      <c r="AH11" s="169"/>
      <c r="AI11" s="169"/>
      <c r="AJ11" s="26" t="s">
        <v>26</v>
      </c>
      <c r="AK11" s="19">
        <f t="shared" si="5"/>
        <v>45952</v>
      </c>
      <c r="AL11" s="26" t="s">
        <v>26</v>
      </c>
      <c r="AM11" s="169" t="s">
        <v>47</v>
      </c>
      <c r="AN11" s="169"/>
      <c r="AO11" s="169"/>
      <c r="AP11" s="26"/>
      <c r="AQ11" s="169" t="s">
        <v>48</v>
      </c>
      <c r="AR11" s="169"/>
      <c r="AS11" s="169"/>
      <c r="AT11" s="26" t="s">
        <v>26</v>
      </c>
      <c r="AU11" s="26"/>
      <c r="AV11" s="19">
        <f t="shared" si="6"/>
        <v>45953</v>
      </c>
      <c r="AW11" s="53"/>
      <c r="AX11" s="170" t="s">
        <v>190</v>
      </c>
      <c r="AY11" s="170"/>
      <c r="AZ11" s="170"/>
      <c r="BA11" s="170"/>
      <c r="BB11" s="53"/>
      <c r="BC11" s="172" t="s">
        <v>210</v>
      </c>
      <c r="BD11" s="172"/>
      <c r="BE11" s="172"/>
      <c r="BF11" s="123" t="s">
        <v>39</v>
      </c>
    </row>
    <row r="12" spans="1:66" ht="48.75" customHeight="1" x14ac:dyDescent="0.25">
      <c r="A12" s="15">
        <f t="shared" si="2"/>
        <v>45956</v>
      </c>
      <c r="B12" s="15">
        <f t="shared" si="1"/>
        <v>45960</v>
      </c>
      <c r="C12" s="152" t="s">
        <v>153</v>
      </c>
      <c r="D12" s="24">
        <f t="shared" si="0"/>
        <v>45956</v>
      </c>
      <c r="E12" s="176" t="s">
        <v>44</v>
      </c>
      <c r="F12" s="176"/>
      <c r="G12" s="176"/>
      <c r="H12" s="176"/>
      <c r="I12" s="176"/>
      <c r="J12" s="176" t="s">
        <v>44</v>
      </c>
      <c r="K12" s="176"/>
      <c r="L12" s="176"/>
      <c r="M12" s="176"/>
      <c r="N12" s="176"/>
      <c r="O12" s="19">
        <f t="shared" si="3"/>
        <v>45957</v>
      </c>
      <c r="P12" s="176" t="s">
        <v>44</v>
      </c>
      <c r="Q12" s="176"/>
      <c r="R12" s="176"/>
      <c r="S12" s="176"/>
      <c r="T12" s="176"/>
      <c r="U12" s="176" t="s">
        <v>44</v>
      </c>
      <c r="V12" s="176"/>
      <c r="W12" s="176"/>
      <c r="X12" s="176"/>
      <c r="Y12" s="176"/>
      <c r="Z12" s="19">
        <f t="shared" si="4"/>
        <v>45958</v>
      </c>
      <c r="AA12" s="176" t="s">
        <v>44</v>
      </c>
      <c r="AB12" s="176"/>
      <c r="AC12" s="176"/>
      <c r="AD12" s="176"/>
      <c r="AE12" s="176"/>
      <c r="AF12" s="176" t="s">
        <v>44</v>
      </c>
      <c r="AG12" s="176"/>
      <c r="AH12" s="176"/>
      <c r="AI12" s="176"/>
      <c r="AJ12" s="176"/>
      <c r="AK12" s="19">
        <f t="shared" si="5"/>
        <v>45959</v>
      </c>
      <c r="AL12" s="176" t="s">
        <v>44</v>
      </c>
      <c r="AM12" s="176"/>
      <c r="AN12" s="176"/>
      <c r="AO12" s="176"/>
      <c r="AP12" s="176"/>
      <c r="AQ12" s="176" t="s">
        <v>44</v>
      </c>
      <c r="AR12" s="176"/>
      <c r="AS12" s="176"/>
      <c r="AT12" s="176"/>
      <c r="AU12" s="176"/>
      <c r="AV12" s="19">
        <f t="shared" si="6"/>
        <v>45960</v>
      </c>
      <c r="AW12" s="176" t="s">
        <v>44</v>
      </c>
      <c r="AX12" s="176"/>
      <c r="AY12" s="176"/>
      <c r="AZ12" s="176"/>
      <c r="BA12" s="176"/>
      <c r="BB12" s="176"/>
      <c r="BC12" s="176"/>
      <c r="BD12" s="176"/>
      <c r="BE12" s="176"/>
      <c r="BF12" s="52"/>
    </row>
    <row r="13" spans="1:66" ht="75" customHeight="1" x14ac:dyDescent="0.25">
      <c r="A13" s="15">
        <f t="shared" si="2"/>
        <v>45963</v>
      </c>
      <c r="B13" s="15">
        <f t="shared" si="1"/>
        <v>45967</v>
      </c>
      <c r="D13" s="24">
        <f t="shared" si="0"/>
        <v>45963</v>
      </c>
      <c r="E13" s="145"/>
      <c r="F13" s="158" t="s">
        <v>177</v>
      </c>
      <c r="G13" s="158"/>
      <c r="H13" s="158"/>
      <c r="I13" s="17" t="s">
        <v>26</v>
      </c>
      <c r="J13" s="17"/>
      <c r="K13" s="170" t="s">
        <v>198</v>
      </c>
      <c r="L13" s="170"/>
      <c r="M13" s="170"/>
      <c r="N13" s="170"/>
      <c r="O13" s="19">
        <f t="shared" si="3"/>
        <v>45964</v>
      </c>
      <c r="P13" s="145"/>
      <c r="Q13" s="158" t="s">
        <v>154</v>
      </c>
      <c r="R13" s="158"/>
      <c r="S13" s="158"/>
      <c r="T13" s="74"/>
      <c r="U13" s="74"/>
      <c r="V13" s="172" t="s">
        <v>210</v>
      </c>
      <c r="W13" s="172"/>
      <c r="X13" s="172"/>
      <c r="Y13" s="145"/>
      <c r="Z13" s="19">
        <f t="shared" si="4"/>
        <v>45965</v>
      </c>
      <c r="AA13" s="169" t="s">
        <v>165</v>
      </c>
      <c r="AB13" s="169"/>
      <c r="AC13" s="169"/>
      <c r="AD13" s="152" t="s">
        <v>26</v>
      </c>
      <c r="AE13" s="145"/>
      <c r="AF13" s="145" t="s">
        <v>26</v>
      </c>
      <c r="AG13" s="180" t="s">
        <v>233</v>
      </c>
      <c r="AH13" s="180"/>
      <c r="AI13" s="180"/>
      <c r="AJ13" s="145"/>
      <c r="AK13" s="19">
        <f t="shared" si="5"/>
        <v>45966</v>
      </c>
      <c r="AL13" s="17" t="s">
        <v>166</v>
      </c>
      <c r="AM13" s="161" t="s">
        <v>51</v>
      </c>
      <c r="AN13" s="162"/>
      <c r="AO13" s="162"/>
      <c r="AP13" s="145"/>
      <c r="AQ13" s="161" t="s">
        <v>51</v>
      </c>
      <c r="AR13" s="162"/>
      <c r="AS13" s="162"/>
      <c r="AT13" s="152" t="s">
        <v>167</v>
      </c>
      <c r="AV13" s="19">
        <f t="shared" si="6"/>
        <v>45967</v>
      </c>
      <c r="AW13" s="17"/>
      <c r="AX13" s="185" t="s">
        <v>260</v>
      </c>
      <c r="AY13" s="185"/>
      <c r="AZ13" s="185"/>
      <c r="BA13" s="185"/>
      <c r="BB13" s="17"/>
      <c r="BC13" s="172" t="s">
        <v>210</v>
      </c>
      <c r="BD13" s="172"/>
      <c r="BE13" s="172"/>
      <c r="BF13" s="52"/>
    </row>
    <row r="14" spans="1:66" ht="72" customHeight="1" x14ac:dyDescent="0.25">
      <c r="A14" s="15">
        <f t="shared" si="2"/>
        <v>45970</v>
      </c>
      <c r="B14" s="15">
        <f t="shared" si="1"/>
        <v>45974</v>
      </c>
      <c r="C14" s="23"/>
      <c r="D14" s="24">
        <f t="shared" si="0"/>
        <v>45970</v>
      </c>
      <c r="E14" s="145"/>
      <c r="F14" s="158" t="s">
        <v>177</v>
      </c>
      <c r="G14" s="158"/>
      <c r="H14" s="158"/>
      <c r="I14" s="17" t="s">
        <v>26</v>
      </c>
      <c r="J14" s="17"/>
      <c r="K14" s="172" t="s">
        <v>210</v>
      </c>
      <c r="L14" s="172"/>
      <c r="M14" s="172"/>
      <c r="N14" s="17"/>
      <c r="O14" s="19">
        <f t="shared" si="3"/>
        <v>45971</v>
      </c>
      <c r="P14" s="74"/>
      <c r="Q14" s="177" t="s">
        <v>109</v>
      </c>
      <c r="R14" s="177"/>
      <c r="S14" s="137" t="s">
        <v>162</v>
      </c>
      <c r="T14" s="74"/>
      <c r="U14" s="74"/>
      <c r="V14" s="172" t="s">
        <v>210</v>
      </c>
      <c r="W14" s="172"/>
      <c r="X14" s="172"/>
      <c r="Y14" s="74"/>
      <c r="Z14" s="19">
        <f t="shared" si="4"/>
        <v>45972</v>
      </c>
      <c r="AA14" s="176" t="s">
        <v>54</v>
      </c>
      <c r="AB14" s="176"/>
      <c r="AC14" s="176"/>
      <c r="AD14" s="176"/>
      <c r="AE14" s="176"/>
      <c r="AF14" s="176"/>
      <c r="AG14" s="176"/>
      <c r="AH14" s="176"/>
      <c r="AI14" s="176"/>
      <c r="AJ14" s="176"/>
      <c r="AK14" s="19">
        <f t="shared" si="5"/>
        <v>45973</v>
      </c>
      <c r="AM14" s="164" t="s">
        <v>232</v>
      </c>
      <c r="AN14" s="164"/>
      <c r="AP14" s="152" t="s">
        <v>26</v>
      </c>
      <c r="AQ14" s="169" t="s">
        <v>33</v>
      </c>
      <c r="AR14" s="169"/>
      <c r="AS14" s="169"/>
      <c r="AT14" s="169"/>
      <c r="AU14" s="169"/>
      <c r="AV14" s="19">
        <f t="shared" si="6"/>
        <v>45974</v>
      </c>
      <c r="AW14" s="152" t="s">
        <v>167</v>
      </c>
      <c r="AX14" s="178" t="s">
        <v>221</v>
      </c>
      <c r="AY14" s="179"/>
      <c r="AZ14" s="179"/>
      <c r="BA14" s="179"/>
      <c r="BB14" s="17"/>
      <c r="BC14" s="172" t="s">
        <v>210</v>
      </c>
      <c r="BD14" s="172"/>
      <c r="BE14" s="172"/>
      <c r="BF14" s="124"/>
    </row>
    <row r="15" spans="1:66" ht="60" customHeight="1" x14ac:dyDescent="0.25">
      <c r="A15" s="15">
        <f t="shared" si="2"/>
        <v>45977</v>
      </c>
      <c r="B15" s="15">
        <f t="shared" si="1"/>
        <v>45981</v>
      </c>
      <c r="C15" s="23"/>
      <c r="D15" s="24">
        <f t="shared" si="0"/>
        <v>45977</v>
      </c>
      <c r="E15" s="158" t="s">
        <v>177</v>
      </c>
      <c r="F15" s="158"/>
      <c r="G15" s="158"/>
      <c r="H15" s="158"/>
      <c r="I15" s="17" t="s">
        <v>26</v>
      </c>
      <c r="J15" s="17"/>
      <c r="K15" s="172" t="s">
        <v>210</v>
      </c>
      <c r="L15" s="172"/>
      <c r="M15" s="172"/>
      <c r="N15" s="17"/>
      <c r="O15" s="19">
        <f t="shared" si="3"/>
        <v>45978</v>
      </c>
      <c r="P15" s="17"/>
      <c r="Q15" s="177" t="s">
        <v>129</v>
      </c>
      <c r="R15" s="182"/>
      <c r="S15" s="152" t="s">
        <v>162</v>
      </c>
      <c r="T15" s="17"/>
      <c r="U15" s="17"/>
      <c r="V15" s="172" t="s">
        <v>210</v>
      </c>
      <c r="W15" s="172"/>
      <c r="X15" s="172"/>
      <c r="Y15" s="17"/>
      <c r="Z15" s="19">
        <f t="shared" si="4"/>
        <v>45979</v>
      </c>
      <c r="AA15" s="169" t="s">
        <v>165</v>
      </c>
      <c r="AB15" s="169"/>
      <c r="AC15" s="169"/>
      <c r="AD15" s="145" t="s">
        <v>26</v>
      </c>
      <c r="AE15" s="145"/>
      <c r="AF15" s="145" t="s">
        <v>26</v>
      </c>
      <c r="AG15" s="180" t="s">
        <v>208</v>
      </c>
      <c r="AH15" s="180"/>
      <c r="AI15" s="183"/>
      <c r="AJ15" s="183"/>
      <c r="AK15" s="19">
        <f t="shared" si="5"/>
        <v>45980</v>
      </c>
      <c r="AL15" s="74" t="s">
        <v>167</v>
      </c>
      <c r="AM15" s="164" t="s">
        <v>145</v>
      </c>
      <c r="AN15" s="164"/>
      <c r="AO15" s="17" t="s">
        <v>26</v>
      </c>
      <c r="AP15" s="169" t="s">
        <v>33</v>
      </c>
      <c r="AQ15" s="169"/>
      <c r="AR15" s="169"/>
      <c r="AS15" s="169"/>
      <c r="AT15" s="169"/>
      <c r="AU15" s="55" t="s">
        <v>77</v>
      </c>
      <c r="AV15" s="19">
        <f t="shared" si="6"/>
        <v>45981</v>
      </c>
      <c r="AW15" s="152" t="s">
        <v>167</v>
      </c>
      <c r="AX15" s="178" t="s">
        <v>221</v>
      </c>
      <c r="AY15" s="179"/>
      <c r="AZ15" s="179"/>
      <c r="BA15" s="179"/>
      <c r="BB15" s="17"/>
      <c r="BC15" s="171" t="s">
        <v>68</v>
      </c>
      <c r="BD15" s="171"/>
      <c r="BE15" s="171"/>
      <c r="BF15" s="124"/>
    </row>
    <row r="16" spans="1:66" ht="72" customHeight="1" x14ac:dyDescent="0.25">
      <c r="A16" s="15">
        <f t="shared" si="2"/>
        <v>45984</v>
      </c>
      <c r="B16" s="15">
        <f t="shared" si="1"/>
        <v>45988</v>
      </c>
      <c r="C16" s="26" t="s">
        <v>39</v>
      </c>
      <c r="D16" s="24">
        <f t="shared" si="0"/>
        <v>45984</v>
      </c>
      <c r="F16" s="170" t="s">
        <v>224</v>
      </c>
      <c r="G16" s="170"/>
      <c r="H16" s="170"/>
      <c r="I16" s="17"/>
      <c r="J16" s="17"/>
      <c r="K16" s="172" t="s">
        <v>210</v>
      </c>
      <c r="L16" s="172"/>
      <c r="M16" s="172"/>
      <c r="N16" s="17"/>
      <c r="O16" s="19">
        <f t="shared" si="3"/>
        <v>45985</v>
      </c>
      <c r="P16" s="17"/>
      <c r="Q16" s="177" t="s">
        <v>110</v>
      </c>
      <c r="R16" s="177"/>
      <c r="S16" s="177"/>
      <c r="T16" s="17" t="s">
        <v>162</v>
      </c>
      <c r="U16" s="17"/>
      <c r="V16" s="172" t="s">
        <v>210</v>
      </c>
      <c r="W16" s="172"/>
      <c r="X16" s="172"/>
      <c r="Y16" s="152" t="s">
        <v>162</v>
      </c>
      <c r="Z16" s="19">
        <f t="shared" si="4"/>
        <v>45986</v>
      </c>
      <c r="AA16" s="169" t="s">
        <v>165</v>
      </c>
      <c r="AB16" s="169"/>
      <c r="AC16" s="169"/>
      <c r="AD16" s="169"/>
      <c r="AE16" s="145" t="s">
        <v>26</v>
      </c>
      <c r="AG16" s="160" t="s">
        <v>86</v>
      </c>
      <c r="AH16" s="187"/>
      <c r="AI16" s="187"/>
      <c r="AJ16" s="83"/>
      <c r="AK16" s="19">
        <f t="shared" si="5"/>
        <v>45987</v>
      </c>
      <c r="AL16" s="168" t="s">
        <v>173</v>
      </c>
      <c r="AM16" s="168"/>
      <c r="AN16" s="168"/>
      <c r="AO16" s="168"/>
      <c r="AP16" s="17" t="s">
        <v>183</v>
      </c>
      <c r="AQ16" s="164" t="s">
        <v>53</v>
      </c>
      <c r="AR16" s="164"/>
      <c r="AS16" s="164" t="s">
        <v>101</v>
      </c>
      <c r="AT16" s="164"/>
      <c r="AU16" s="55" t="s">
        <v>77</v>
      </c>
      <c r="AV16" s="19">
        <f t="shared" si="6"/>
        <v>45988</v>
      </c>
      <c r="AW16" s="152" t="s">
        <v>167</v>
      </c>
      <c r="AX16" s="178" t="s">
        <v>221</v>
      </c>
      <c r="AY16" s="179"/>
      <c r="AZ16" s="179"/>
      <c r="BA16" s="179"/>
      <c r="BB16" s="17"/>
      <c r="BC16" s="171" t="s">
        <v>68</v>
      </c>
      <c r="BD16" s="171"/>
      <c r="BE16" s="171"/>
      <c r="BF16" s="123" t="s">
        <v>39</v>
      </c>
    </row>
    <row r="17" spans="1:63" ht="69" customHeight="1" x14ac:dyDescent="0.25">
      <c r="A17" s="15">
        <f t="shared" si="2"/>
        <v>45991</v>
      </c>
      <c r="B17" s="15">
        <f t="shared" si="1"/>
        <v>45995</v>
      </c>
      <c r="C17" s="28"/>
      <c r="D17" s="24">
        <f t="shared" si="0"/>
        <v>45991</v>
      </c>
      <c r="E17" s="17"/>
      <c r="F17" s="170" t="s">
        <v>225</v>
      </c>
      <c r="G17" s="170"/>
      <c r="H17" s="170"/>
      <c r="I17" s="17"/>
      <c r="J17" s="17"/>
      <c r="K17" s="172" t="s">
        <v>210</v>
      </c>
      <c r="L17" s="172"/>
      <c r="M17" s="172"/>
      <c r="N17" s="17"/>
      <c r="O17" s="19">
        <f t="shared" si="3"/>
        <v>45992</v>
      </c>
      <c r="Q17" s="177" t="s">
        <v>215</v>
      </c>
      <c r="R17" s="177"/>
      <c r="S17" s="152" t="s">
        <v>162</v>
      </c>
      <c r="V17" s="184" t="s">
        <v>226</v>
      </c>
      <c r="W17" s="184"/>
      <c r="X17" s="184"/>
      <c r="Z17" s="19">
        <f t="shared" si="4"/>
        <v>45993</v>
      </c>
      <c r="AA17" s="26" t="s">
        <v>217</v>
      </c>
      <c r="AB17" s="185" t="s">
        <v>259</v>
      </c>
      <c r="AC17" s="186"/>
      <c r="AD17" s="26" t="s">
        <v>217</v>
      </c>
      <c r="AE17" s="185" t="s">
        <v>120</v>
      </c>
      <c r="AF17" s="186"/>
      <c r="AG17" s="26"/>
      <c r="AH17" s="26"/>
      <c r="AI17" s="26"/>
      <c r="AJ17" s="26"/>
      <c r="AK17" s="19">
        <f t="shared" si="5"/>
        <v>45994</v>
      </c>
      <c r="AL17" s="26"/>
      <c r="AM17" s="158" t="s">
        <v>203</v>
      </c>
      <c r="AN17" s="158"/>
      <c r="AO17" s="158"/>
      <c r="AP17" s="26"/>
      <c r="AQ17" s="26"/>
      <c r="AR17" s="158" t="s">
        <v>202</v>
      </c>
      <c r="AS17" s="158"/>
      <c r="AT17" s="26"/>
      <c r="AU17" s="26"/>
      <c r="AV17" s="19">
        <f t="shared" si="6"/>
        <v>45995</v>
      </c>
      <c r="AW17" s="152" t="s">
        <v>167</v>
      </c>
      <c r="AX17" s="178" t="s">
        <v>221</v>
      </c>
      <c r="AY17" s="179"/>
      <c r="AZ17" s="179"/>
      <c r="BA17" s="179"/>
      <c r="BB17" s="17"/>
      <c r="BC17" s="171" t="s">
        <v>68</v>
      </c>
      <c r="BD17" s="171"/>
      <c r="BE17" s="171"/>
      <c r="BF17" s="52"/>
      <c r="BG17" s="59"/>
      <c r="BK17" s="59"/>
    </row>
    <row r="18" spans="1:63" ht="86.25" customHeight="1" x14ac:dyDescent="0.25">
      <c r="A18" s="15">
        <f t="shared" si="2"/>
        <v>45998</v>
      </c>
      <c r="B18" s="15">
        <f t="shared" si="1"/>
        <v>46002</v>
      </c>
      <c r="C18" s="28"/>
      <c r="D18" s="24">
        <f t="shared" si="0"/>
        <v>45998</v>
      </c>
      <c r="E18" s="17"/>
      <c r="F18" s="172" t="s">
        <v>210</v>
      </c>
      <c r="G18" s="172"/>
      <c r="H18" s="172"/>
      <c r="I18" s="17"/>
      <c r="J18" s="17"/>
      <c r="K18" s="172" t="s">
        <v>210</v>
      </c>
      <c r="L18" s="172"/>
      <c r="M18" s="172"/>
      <c r="N18" s="17"/>
      <c r="O18" s="19">
        <f t="shared" si="3"/>
        <v>45999</v>
      </c>
      <c r="P18" s="164" t="s">
        <v>121</v>
      </c>
      <c r="Q18" s="164"/>
      <c r="R18" s="164"/>
      <c r="S18" s="164"/>
      <c r="T18" s="17" t="s">
        <v>167</v>
      </c>
      <c r="U18" s="17" t="s">
        <v>167</v>
      </c>
      <c r="V18" s="164" t="s">
        <v>123</v>
      </c>
      <c r="W18" s="164"/>
      <c r="X18" s="164"/>
      <c r="Y18" s="164"/>
      <c r="Z18" s="19">
        <f t="shared" si="4"/>
        <v>46000</v>
      </c>
      <c r="AA18" s="17" t="s">
        <v>167</v>
      </c>
      <c r="AB18" s="188" t="s">
        <v>144</v>
      </c>
      <c r="AC18" s="188"/>
      <c r="AD18" s="188"/>
      <c r="AE18" s="188"/>
      <c r="AF18" s="17" t="s">
        <v>167</v>
      </c>
      <c r="AG18" s="188" t="s">
        <v>199</v>
      </c>
      <c r="AH18" s="188"/>
      <c r="AI18" s="188"/>
      <c r="AJ18" s="188"/>
      <c r="AK18" s="19">
        <f t="shared" si="5"/>
        <v>46001</v>
      </c>
      <c r="AL18" s="152" t="s">
        <v>167</v>
      </c>
      <c r="AM18" s="169" t="s">
        <v>76</v>
      </c>
      <c r="AN18" s="169"/>
      <c r="AO18" s="169"/>
      <c r="AQ18" s="168" t="s">
        <v>173</v>
      </c>
      <c r="AR18" s="168"/>
      <c r="AS18" s="168"/>
      <c r="AT18" s="168"/>
      <c r="AV18" s="19">
        <f t="shared" si="6"/>
        <v>46002</v>
      </c>
      <c r="AW18" s="152" t="s">
        <v>167</v>
      </c>
      <c r="AX18" s="178" t="s">
        <v>221</v>
      </c>
      <c r="AY18" s="179"/>
      <c r="AZ18" s="179"/>
      <c r="BA18" s="179"/>
      <c r="BB18" s="17"/>
      <c r="BC18" s="171" t="s">
        <v>68</v>
      </c>
      <c r="BD18" s="171"/>
      <c r="BE18" s="171"/>
      <c r="BF18" s="52"/>
    </row>
    <row r="19" spans="1:63" ht="80.25" customHeight="1" x14ac:dyDescent="0.25">
      <c r="A19" s="15">
        <f t="shared" si="2"/>
        <v>46005</v>
      </c>
      <c r="B19" s="15">
        <f t="shared" si="1"/>
        <v>46009</v>
      </c>
      <c r="D19" s="24">
        <f t="shared" si="0"/>
        <v>46005</v>
      </c>
      <c r="E19" s="17"/>
      <c r="F19" s="172" t="s">
        <v>210</v>
      </c>
      <c r="G19" s="172"/>
      <c r="H19" s="172"/>
      <c r="I19" s="17"/>
      <c r="J19" s="17"/>
      <c r="K19" s="172" t="s">
        <v>210</v>
      </c>
      <c r="L19" s="172"/>
      <c r="M19" s="172"/>
      <c r="N19" s="17"/>
      <c r="O19" s="19">
        <f t="shared" si="3"/>
        <v>46006</v>
      </c>
      <c r="Q19" s="177" t="s">
        <v>216</v>
      </c>
      <c r="R19" s="177"/>
      <c r="V19" s="189" t="s">
        <v>212</v>
      </c>
      <c r="W19" s="189"/>
      <c r="Z19" s="19">
        <f t="shared" si="4"/>
        <v>46007</v>
      </c>
      <c r="AA19" s="189" t="s">
        <v>213</v>
      </c>
      <c r="AB19" s="189"/>
      <c r="AC19" s="189" t="s">
        <v>214</v>
      </c>
      <c r="AD19" s="189"/>
      <c r="AG19" s="169" t="s">
        <v>86</v>
      </c>
      <c r="AH19" s="190"/>
      <c r="AI19" s="190"/>
      <c r="AJ19" s="54"/>
      <c r="AK19" s="19">
        <f t="shared" si="5"/>
        <v>46008</v>
      </c>
      <c r="AL19" s="152" t="s">
        <v>167</v>
      </c>
      <c r="AM19" s="161" t="s">
        <v>234</v>
      </c>
      <c r="AN19" s="162"/>
      <c r="AO19" s="162"/>
      <c r="AR19" s="161" t="s">
        <v>235</v>
      </c>
      <c r="AS19" s="162"/>
      <c r="AT19" s="162"/>
      <c r="AU19" s="152" t="s">
        <v>167</v>
      </c>
      <c r="AV19" s="19">
        <f t="shared" si="6"/>
        <v>46009</v>
      </c>
      <c r="AW19" s="152" t="s">
        <v>167</v>
      </c>
      <c r="AX19" s="178" t="s">
        <v>221</v>
      </c>
      <c r="AY19" s="179"/>
      <c r="AZ19" s="179"/>
      <c r="BA19" s="179"/>
      <c r="BB19" s="17"/>
      <c r="BF19" s="52"/>
      <c r="BG19" s="58" t="s">
        <v>111</v>
      </c>
      <c r="BH19" s="152" t="s">
        <v>220</v>
      </c>
    </row>
    <row r="20" spans="1:63" ht="29.25" customHeight="1" x14ac:dyDescent="0.25">
      <c r="A20" s="15">
        <f t="shared" si="2"/>
        <v>46012</v>
      </c>
      <c r="B20" s="15">
        <f t="shared" si="1"/>
        <v>46016</v>
      </c>
      <c r="D20" s="24">
        <f t="shared" si="0"/>
        <v>46012</v>
      </c>
      <c r="E20" s="176" t="s">
        <v>44</v>
      </c>
      <c r="F20" s="176"/>
      <c r="G20" s="176"/>
      <c r="H20" s="176"/>
      <c r="I20" s="176"/>
      <c r="J20" s="176" t="s">
        <v>44</v>
      </c>
      <c r="K20" s="176"/>
      <c r="L20" s="176"/>
      <c r="M20" s="176"/>
      <c r="N20" s="176"/>
      <c r="O20" s="19">
        <f t="shared" si="3"/>
        <v>46013</v>
      </c>
      <c r="P20" s="176" t="s">
        <v>44</v>
      </c>
      <c r="Q20" s="176"/>
      <c r="R20" s="176"/>
      <c r="S20" s="176"/>
      <c r="T20" s="176"/>
      <c r="U20" s="176" t="s">
        <v>44</v>
      </c>
      <c r="V20" s="176"/>
      <c r="W20" s="176"/>
      <c r="X20" s="176"/>
      <c r="Y20" s="176"/>
      <c r="Z20" s="19">
        <f t="shared" si="4"/>
        <v>46014</v>
      </c>
      <c r="AA20" s="176" t="s">
        <v>44</v>
      </c>
      <c r="AB20" s="176"/>
      <c r="AC20" s="176"/>
      <c r="AD20" s="176"/>
      <c r="AE20" s="176"/>
      <c r="AF20" s="176" t="s">
        <v>44</v>
      </c>
      <c r="AG20" s="176"/>
      <c r="AH20" s="176"/>
      <c r="AI20" s="176"/>
      <c r="AJ20" s="176"/>
      <c r="AK20" s="19">
        <f t="shared" si="5"/>
        <v>46015</v>
      </c>
      <c r="AL20" s="176" t="s">
        <v>44</v>
      </c>
      <c r="AM20" s="176"/>
      <c r="AN20" s="176"/>
      <c r="AO20" s="176"/>
      <c r="AP20" s="176"/>
      <c r="AQ20" s="176" t="s">
        <v>44</v>
      </c>
      <c r="AR20" s="176"/>
      <c r="AS20" s="176"/>
      <c r="AT20" s="176"/>
      <c r="AU20" s="176"/>
      <c r="AV20" s="19">
        <f t="shared" si="6"/>
        <v>46016</v>
      </c>
      <c r="AW20" s="176" t="s">
        <v>44</v>
      </c>
      <c r="AX20" s="176"/>
      <c r="AY20" s="176"/>
      <c r="AZ20" s="176"/>
      <c r="BA20" s="176"/>
      <c r="BB20" s="176"/>
      <c r="BC20" s="176"/>
      <c r="BD20" s="176"/>
      <c r="BE20" s="176"/>
      <c r="BF20" s="52"/>
    </row>
    <row r="21" spans="1:63" ht="32.25" customHeight="1" x14ac:dyDescent="0.25">
      <c r="A21" s="15">
        <f t="shared" si="2"/>
        <v>46019</v>
      </c>
      <c r="B21" s="15">
        <f t="shared" si="1"/>
        <v>46023</v>
      </c>
      <c r="D21" s="24">
        <f t="shared" si="0"/>
        <v>46019</v>
      </c>
      <c r="E21" s="176" t="s">
        <v>44</v>
      </c>
      <c r="F21" s="176"/>
      <c r="G21" s="176"/>
      <c r="H21" s="176"/>
      <c r="I21" s="176"/>
      <c r="J21" s="176" t="s">
        <v>44</v>
      </c>
      <c r="K21" s="176"/>
      <c r="L21" s="176"/>
      <c r="M21" s="176"/>
      <c r="N21" s="176"/>
      <c r="O21" s="19">
        <f t="shared" si="3"/>
        <v>46020</v>
      </c>
      <c r="P21" s="176" t="s">
        <v>44</v>
      </c>
      <c r="Q21" s="176"/>
      <c r="R21" s="176"/>
      <c r="S21" s="176"/>
      <c r="T21" s="176"/>
      <c r="U21" s="176" t="s">
        <v>44</v>
      </c>
      <c r="V21" s="176"/>
      <c r="W21" s="176"/>
      <c r="X21" s="176"/>
      <c r="Y21" s="176"/>
      <c r="Z21" s="19">
        <f t="shared" si="4"/>
        <v>46021</v>
      </c>
      <c r="AA21" s="176" t="s">
        <v>44</v>
      </c>
      <c r="AB21" s="176"/>
      <c r="AC21" s="176"/>
      <c r="AD21" s="176"/>
      <c r="AE21" s="176"/>
      <c r="AF21" s="176" t="s">
        <v>44</v>
      </c>
      <c r="AG21" s="176"/>
      <c r="AH21" s="176"/>
      <c r="AI21" s="176"/>
      <c r="AJ21" s="176"/>
      <c r="AK21" s="19">
        <f t="shared" si="5"/>
        <v>46022</v>
      </c>
      <c r="AL21" s="176" t="s">
        <v>44</v>
      </c>
      <c r="AM21" s="176"/>
      <c r="AN21" s="176"/>
      <c r="AO21" s="176"/>
      <c r="AP21" s="176"/>
      <c r="AQ21" s="176" t="s">
        <v>44</v>
      </c>
      <c r="AR21" s="176"/>
      <c r="AS21" s="176"/>
      <c r="AT21" s="176"/>
      <c r="AU21" s="176"/>
      <c r="AV21" s="19">
        <f t="shared" si="6"/>
        <v>46023</v>
      </c>
      <c r="AW21" s="176" t="s">
        <v>44</v>
      </c>
      <c r="AX21" s="176"/>
      <c r="AY21" s="176"/>
      <c r="AZ21" s="176"/>
      <c r="BA21" s="176"/>
      <c r="BB21" s="176"/>
      <c r="BC21" s="176"/>
      <c r="BD21" s="176"/>
      <c r="BE21" s="176"/>
      <c r="BF21" s="52"/>
    </row>
    <row r="22" spans="1:63" ht="75.75" customHeight="1" x14ac:dyDescent="0.25">
      <c r="A22" s="15">
        <f t="shared" si="2"/>
        <v>46026</v>
      </c>
      <c r="B22" s="15">
        <f t="shared" si="1"/>
        <v>46030</v>
      </c>
      <c r="C22" s="26" t="s">
        <v>39</v>
      </c>
      <c r="D22" s="24">
        <f t="shared" si="0"/>
        <v>46026</v>
      </c>
      <c r="E22" s="17"/>
      <c r="F22" s="184" t="s">
        <v>131</v>
      </c>
      <c r="G22" s="184"/>
      <c r="H22" s="184"/>
      <c r="I22" s="184"/>
      <c r="J22" s="184"/>
      <c r="K22" s="184"/>
      <c r="L22" s="184"/>
      <c r="M22" s="184"/>
      <c r="N22" s="17" t="s">
        <v>162</v>
      </c>
      <c r="O22" s="19">
        <f t="shared" si="3"/>
        <v>46027</v>
      </c>
      <c r="Q22" s="184" t="s">
        <v>131</v>
      </c>
      <c r="R22" s="184"/>
      <c r="S22" s="184"/>
      <c r="T22" s="184"/>
      <c r="U22" s="184"/>
      <c r="V22" s="17" t="s">
        <v>162</v>
      </c>
      <c r="W22" s="172" t="s">
        <v>210</v>
      </c>
      <c r="X22" s="172"/>
      <c r="Y22" s="172"/>
      <c r="Z22" s="19">
        <f t="shared" si="4"/>
        <v>46028</v>
      </c>
      <c r="AA22" s="84"/>
      <c r="AB22" s="172" t="s">
        <v>210</v>
      </c>
      <c r="AC22" s="172"/>
      <c r="AD22" s="172"/>
      <c r="AE22" s="84"/>
      <c r="AF22" s="84"/>
      <c r="AG22" s="172" t="s">
        <v>210</v>
      </c>
      <c r="AH22" s="172"/>
      <c r="AI22" s="172"/>
      <c r="AJ22" s="84"/>
      <c r="AK22" s="19">
        <f t="shared" si="5"/>
        <v>46029</v>
      </c>
      <c r="AL22" s="84"/>
      <c r="AM22" s="158" t="s">
        <v>203</v>
      </c>
      <c r="AN22" s="158"/>
      <c r="AO22" s="158"/>
      <c r="AP22" s="26"/>
      <c r="AQ22" s="26"/>
      <c r="AR22" s="158" t="s">
        <v>204</v>
      </c>
      <c r="AS22" s="158"/>
      <c r="AT22" s="84"/>
      <c r="AU22" s="84"/>
      <c r="AV22" s="19">
        <f t="shared" si="6"/>
        <v>46030</v>
      </c>
      <c r="AW22" s="85"/>
      <c r="AX22" s="85"/>
      <c r="AY22" s="85"/>
      <c r="AZ22" s="85"/>
      <c r="BA22" s="85"/>
      <c r="BB22" s="85"/>
      <c r="BC22" s="85"/>
      <c r="BD22" s="85"/>
      <c r="BE22" s="85"/>
      <c r="BF22" s="123" t="s">
        <v>39</v>
      </c>
    </row>
    <row r="23" spans="1:63" ht="107.25" customHeight="1" x14ac:dyDescent="0.25">
      <c r="A23" s="15">
        <f t="shared" si="2"/>
        <v>46033</v>
      </c>
      <c r="B23" s="15">
        <f t="shared" si="1"/>
        <v>46037</v>
      </c>
      <c r="C23" s="28"/>
      <c r="D23" s="24">
        <f t="shared" si="0"/>
        <v>46033</v>
      </c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19">
        <f t="shared" si="3"/>
        <v>46034</v>
      </c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19">
        <f t="shared" si="4"/>
        <v>46035</v>
      </c>
      <c r="AA23" s="85" t="s">
        <v>162</v>
      </c>
      <c r="AB23" s="164" t="s">
        <v>107</v>
      </c>
      <c r="AC23" s="165"/>
      <c r="AD23" s="165"/>
      <c r="AE23" s="53"/>
      <c r="AF23" s="53"/>
      <c r="AG23" s="164" t="s">
        <v>108</v>
      </c>
      <c r="AH23" s="165"/>
      <c r="AI23" s="165"/>
      <c r="AJ23" s="85" t="s">
        <v>162</v>
      </c>
      <c r="AK23" s="19">
        <f t="shared" si="5"/>
        <v>46036</v>
      </c>
      <c r="AL23" s="85" t="s">
        <v>26</v>
      </c>
      <c r="AM23" s="168" t="s">
        <v>173</v>
      </c>
      <c r="AN23" s="168"/>
      <c r="AO23" s="168"/>
      <c r="AP23" s="168"/>
      <c r="AQ23" s="85"/>
      <c r="AR23" s="169" t="s">
        <v>197</v>
      </c>
      <c r="AS23" s="169"/>
      <c r="AT23" s="85" t="s">
        <v>26</v>
      </c>
      <c r="AU23" s="85"/>
      <c r="AV23" s="19">
        <f t="shared" si="6"/>
        <v>46037</v>
      </c>
      <c r="AW23" s="85"/>
      <c r="AX23" s="85"/>
      <c r="AY23" s="85"/>
      <c r="AZ23" s="85"/>
      <c r="BA23" s="85"/>
      <c r="BB23" s="85"/>
      <c r="BC23" s="85"/>
      <c r="BD23" s="85"/>
      <c r="BE23" s="85"/>
      <c r="BF23" s="52"/>
    </row>
    <row r="24" spans="1:63" ht="101.25" customHeight="1" x14ac:dyDescent="0.25">
      <c r="A24" s="15">
        <f t="shared" si="2"/>
        <v>46040</v>
      </c>
      <c r="B24" s="15">
        <f t="shared" si="1"/>
        <v>46044</v>
      </c>
      <c r="D24" s="24">
        <f t="shared" si="0"/>
        <v>46040</v>
      </c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19">
        <f t="shared" si="3"/>
        <v>46041</v>
      </c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19">
        <f t="shared" si="4"/>
        <v>46042</v>
      </c>
      <c r="AA24" s="85"/>
      <c r="AB24" s="85"/>
      <c r="AC24" s="85"/>
      <c r="AD24" s="85"/>
      <c r="AE24" s="85"/>
      <c r="AF24" s="196" t="s">
        <v>158</v>
      </c>
      <c r="AG24" s="196"/>
      <c r="AH24" s="196"/>
      <c r="AI24" s="196"/>
      <c r="AJ24" s="196"/>
      <c r="AK24" s="19">
        <f t="shared" si="5"/>
        <v>46043</v>
      </c>
      <c r="AL24" s="86"/>
      <c r="AM24" s="197" t="s">
        <v>171</v>
      </c>
      <c r="AN24" s="197"/>
      <c r="AO24" s="197"/>
      <c r="AP24" s="197"/>
      <c r="AQ24" s="197"/>
      <c r="AR24" s="146" t="s">
        <v>183</v>
      </c>
      <c r="AS24" s="197" t="s">
        <v>170</v>
      </c>
      <c r="AT24" s="197"/>
      <c r="AU24" s="197"/>
      <c r="AV24" s="19">
        <f t="shared" si="6"/>
        <v>46044</v>
      </c>
      <c r="AW24" s="85"/>
      <c r="AX24" s="85"/>
      <c r="AY24" s="85"/>
      <c r="AZ24" s="85"/>
      <c r="BA24" s="85"/>
      <c r="BB24" s="85"/>
      <c r="BC24" s="85"/>
      <c r="BD24" s="85"/>
      <c r="BE24" s="85"/>
      <c r="BF24" s="52"/>
      <c r="BH24"/>
    </row>
    <row r="25" spans="1:63" ht="106.5" customHeight="1" x14ac:dyDescent="0.25">
      <c r="A25" s="15">
        <f t="shared" si="2"/>
        <v>46047</v>
      </c>
      <c r="B25" s="15">
        <f t="shared" si="1"/>
        <v>46051</v>
      </c>
      <c r="D25" s="24">
        <f t="shared" si="0"/>
        <v>46047</v>
      </c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19">
        <f t="shared" si="3"/>
        <v>46048</v>
      </c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19">
        <f t="shared" si="4"/>
        <v>46049</v>
      </c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19">
        <f>AK24+7</f>
        <v>46050</v>
      </c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19">
        <f t="shared" si="6"/>
        <v>46051</v>
      </c>
      <c r="AW25" s="121"/>
      <c r="AX25" s="204" t="s">
        <v>88</v>
      </c>
      <c r="AY25" s="204"/>
      <c r="AZ25" s="204"/>
      <c r="BA25" s="204"/>
      <c r="BB25" s="121"/>
      <c r="BC25" s="121"/>
      <c r="BD25" s="121"/>
      <c r="BE25" s="121"/>
      <c r="BF25" s="52"/>
      <c r="BH25" s="61"/>
    </row>
    <row r="26" spans="1:63" ht="78.75" customHeight="1" x14ac:dyDescent="0.25">
      <c r="A26" s="15">
        <f t="shared" si="2"/>
        <v>46054</v>
      </c>
      <c r="B26" s="15">
        <f t="shared" si="1"/>
        <v>46058</v>
      </c>
      <c r="C26" s="23"/>
      <c r="D26" s="24">
        <f>A26</f>
        <v>46054</v>
      </c>
      <c r="E26" s="192" t="s">
        <v>138</v>
      </c>
      <c r="F26" s="192"/>
      <c r="G26" s="192"/>
      <c r="H26" s="192"/>
      <c r="I26" s="192"/>
      <c r="J26" s="192"/>
      <c r="K26" s="192"/>
      <c r="L26" s="192"/>
      <c r="M26" s="192"/>
      <c r="N26" s="192"/>
      <c r="O26" s="19">
        <f t="shared" si="3"/>
        <v>46055</v>
      </c>
      <c r="P26" s="174" t="s">
        <v>140</v>
      </c>
      <c r="Q26" s="174"/>
      <c r="R26" s="174"/>
      <c r="S26" s="206" t="s">
        <v>138</v>
      </c>
      <c r="T26" s="206"/>
      <c r="U26" s="206"/>
      <c r="V26" s="206"/>
      <c r="W26" s="206"/>
      <c r="X26" s="206"/>
      <c r="Y26" s="206"/>
      <c r="Z26" s="19">
        <f t="shared" si="4"/>
        <v>46056</v>
      </c>
      <c r="AA26" s="192" t="s">
        <v>138</v>
      </c>
      <c r="AB26" s="192"/>
      <c r="AC26" s="192"/>
      <c r="AD26" s="192"/>
      <c r="AE26" s="192"/>
      <c r="AF26" s="192"/>
      <c r="AG26" s="192"/>
      <c r="AH26" s="192"/>
      <c r="AI26" s="192"/>
      <c r="AJ26" s="192"/>
      <c r="AK26" s="19">
        <f t="shared" si="5"/>
        <v>46057</v>
      </c>
      <c r="AL26" s="192" t="s">
        <v>138</v>
      </c>
      <c r="AM26" s="192"/>
      <c r="AN26" s="192"/>
      <c r="AO26" s="192"/>
      <c r="AP26" s="192"/>
      <c r="AQ26" s="192"/>
      <c r="AR26" s="192"/>
      <c r="AS26" s="192"/>
      <c r="AT26" s="192"/>
      <c r="AU26" s="192"/>
      <c r="AV26" s="19">
        <f t="shared" si="6"/>
        <v>46058</v>
      </c>
      <c r="AW26" s="191" t="s">
        <v>138</v>
      </c>
      <c r="AX26" s="191"/>
      <c r="AY26" s="191"/>
      <c r="AZ26" s="191"/>
      <c r="BA26" s="191"/>
      <c r="BB26" s="191"/>
      <c r="BC26" s="191"/>
      <c r="BD26" s="191"/>
      <c r="BE26" s="191"/>
      <c r="BF26" s="124"/>
      <c r="BH26" s="174" t="s">
        <v>140</v>
      </c>
      <c r="BI26" s="174"/>
      <c r="BJ26" s="174"/>
    </row>
    <row r="27" spans="1:63" ht="106.9" customHeight="1" thickBot="1" x14ac:dyDescent="0.3">
      <c r="A27" s="15">
        <f>B26+3</f>
        <v>46061</v>
      </c>
      <c r="B27" s="15">
        <f t="shared" si="1"/>
        <v>46065</v>
      </c>
      <c r="C27" s="26" t="s">
        <v>39</v>
      </c>
      <c r="D27" s="30">
        <f t="shared" si="0"/>
        <v>46061</v>
      </c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56">
        <f>O26+7</f>
        <v>46062</v>
      </c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56">
        <f>Z26+7</f>
        <v>46063</v>
      </c>
      <c r="AA27" s="242" t="s">
        <v>257</v>
      </c>
      <c r="AB27" s="242"/>
      <c r="AC27" s="242"/>
      <c r="AD27" s="242"/>
      <c r="AE27" s="242"/>
      <c r="AF27" s="242" t="s">
        <v>258</v>
      </c>
      <c r="AG27" s="242"/>
      <c r="AH27" s="242"/>
      <c r="AI27" s="242"/>
      <c r="AJ27" s="242"/>
      <c r="AK27" s="56">
        <f>AK26+7</f>
        <v>46064</v>
      </c>
      <c r="AL27" s="243" t="s">
        <v>255</v>
      </c>
      <c r="AM27" s="243"/>
      <c r="AN27" s="243"/>
      <c r="AO27" s="243" t="s">
        <v>14</v>
      </c>
      <c r="AP27" s="243"/>
      <c r="AQ27" s="243" t="s">
        <v>256</v>
      </c>
      <c r="AR27" s="243"/>
      <c r="AS27" s="243"/>
      <c r="AT27" s="243"/>
      <c r="AU27" s="243"/>
      <c r="AV27" s="56">
        <f>AV26+7</f>
        <v>46065</v>
      </c>
      <c r="AW27" s="244"/>
      <c r="AX27" s="244"/>
      <c r="AY27" s="244"/>
      <c r="AZ27" s="244"/>
      <c r="BA27" s="244"/>
      <c r="BB27" s="244"/>
      <c r="BC27" s="244"/>
      <c r="BD27" s="244"/>
      <c r="BE27" s="245"/>
      <c r="BF27" s="125"/>
    </row>
    <row r="28" spans="1:63" x14ac:dyDescent="0.25">
      <c r="A28" s="33"/>
      <c r="B28" s="33"/>
      <c r="C28" s="145"/>
      <c r="D28" s="34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34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34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34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34"/>
      <c r="AW28" s="145"/>
      <c r="BF28" s="23"/>
    </row>
    <row r="29" spans="1:63" x14ac:dyDescent="0.25">
      <c r="A29" s="145"/>
      <c r="B29" s="145"/>
      <c r="C29" s="145"/>
      <c r="D29" s="4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201" t="s">
        <v>87</v>
      </c>
      <c r="AG29" s="201"/>
      <c r="AH29" s="201"/>
      <c r="AI29" s="201"/>
      <c r="AJ29" s="201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</row>
    <row r="30" spans="1:63" x14ac:dyDescent="0.25">
      <c r="AL30" s="35"/>
      <c r="AM30" s="35"/>
      <c r="AN30" s="35"/>
      <c r="AO30" s="36" t="s">
        <v>230</v>
      </c>
    </row>
    <row r="31" spans="1:63" x14ac:dyDescent="0.25">
      <c r="U31" s="37"/>
      <c r="V31" s="37"/>
      <c r="W31" s="38"/>
      <c r="X31" s="39" t="s">
        <v>230</v>
      </c>
      <c r="Y31" s="17"/>
      <c r="AL31" s="40"/>
      <c r="AM31" s="40"/>
      <c r="AN31" s="40"/>
      <c r="AO31" s="41" t="s">
        <v>6</v>
      </c>
      <c r="BE31" s="17"/>
      <c r="BF31" s="17"/>
      <c r="BG31" s="17"/>
      <c r="BH31" s="17"/>
      <c r="BI31" s="17"/>
    </row>
    <row r="32" spans="1:63" ht="16.5" thickBot="1" x14ac:dyDescent="0.3">
      <c r="M32" s="42"/>
      <c r="N32" s="29"/>
      <c r="O32" s="152" t="s">
        <v>10</v>
      </c>
      <c r="Q32" s="152" t="s">
        <v>42</v>
      </c>
      <c r="U32" s="40"/>
      <c r="V32" s="40"/>
      <c r="W32" s="43"/>
      <c r="X32" s="39" t="s">
        <v>6</v>
      </c>
      <c r="Y32" s="17"/>
      <c r="AA32" s="202" t="s">
        <v>56</v>
      </c>
      <c r="AB32" s="202"/>
      <c r="AC32" s="202"/>
      <c r="AD32" s="202" t="s">
        <v>14</v>
      </c>
      <c r="AE32" s="202"/>
      <c r="AF32" s="202" t="s">
        <v>102</v>
      </c>
      <c r="AG32" s="202"/>
      <c r="AH32" s="202"/>
      <c r="AI32" s="202"/>
      <c r="AJ32" s="202"/>
      <c r="AL32" s="44"/>
      <c r="AM32" s="44"/>
      <c r="AN32" s="44"/>
      <c r="AO32" s="41" t="s">
        <v>7</v>
      </c>
    </row>
    <row r="33" spans="4:50" x14ac:dyDescent="0.25">
      <c r="M33" s="45"/>
      <c r="N33" s="45"/>
      <c r="O33" s="152" t="s">
        <v>15</v>
      </c>
      <c r="U33" s="44"/>
      <c r="V33" s="44"/>
      <c r="W33" s="44"/>
      <c r="X33" s="39" t="s">
        <v>7</v>
      </c>
      <c r="Y33" s="17"/>
      <c r="AL33" s="142"/>
      <c r="AM33" s="142"/>
      <c r="AN33" s="142"/>
      <c r="AO33" s="41" t="s">
        <v>8</v>
      </c>
    </row>
    <row r="34" spans="4:50" x14ac:dyDescent="0.25">
      <c r="U34" s="142"/>
      <c r="V34" s="142"/>
      <c r="W34" s="143"/>
      <c r="X34" s="39" t="s">
        <v>8</v>
      </c>
      <c r="Y34" s="17"/>
      <c r="AL34" s="145"/>
      <c r="AM34" s="145"/>
      <c r="AN34" s="145"/>
      <c r="AQ34" s="145"/>
      <c r="AR34" s="145"/>
      <c r="AS34" s="145"/>
      <c r="AT34" s="145"/>
      <c r="AU34" s="145"/>
      <c r="AV34" s="145"/>
      <c r="AW34" s="145"/>
      <c r="AX34" s="145"/>
    </row>
    <row r="35" spans="4:50" x14ac:dyDescent="0.25">
      <c r="D35" s="152"/>
      <c r="U35" s="145"/>
      <c r="V35" s="145"/>
      <c r="W35" s="145"/>
      <c r="X35" s="83"/>
      <c r="Y35" s="17"/>
      <c r="AF35" s="23"/>
      <c r="AG35" s="23"/>
      <c r="AH35" s="23"/>
      <c r="AL35" s="145"/>
      <c r="AM35" s="145"/>
      <c r="AN35" s="145"/>
      <c r="AO35" s="23"/>
      <c r="AQ35" s="145"/>
      <c r="AR35" s="145"/>
      <c r="AS35" s="145"/>
      <c r="AT35" s="203"/>
      <c r="AU35" s="203"/>
      <c r="AV35" s="203"/>
      <c r="AW35" s="145"/>
      <c r="AX35" s="145"/>
    </row>
    <row r="36" spans="4:50" x14ac:dyDescent="0.25">
      <c r="D36" s="152"/>
      <c r="U36" s="23"/>
      <c r="V36" s="23"/>
      <c r="W36" s="23"/>
      <c r="X36" s="23"/>
    </row>
    <row r="37" spans="4:50" ht="89.45" customHeight="1" thickBot="1" x14ac:dyDescent="0.3">
      <c r="D37" s="152"/>
      <c r="U37" s="23"/>
      <c r="V37" s="23"/>
      <c r="W37" s="23"/>
      <c r="X37" s="23"/>
      <c r="AA37" s="198" t="s">
        <v>78</v>
      </c>
      <c r="AB37" s="198"/>
      <c r="AC37" s="198"/>
      <c r="AD37" s="198"/>
      <c r="AE37" s="198"/>
      <c r="AF37" s="198"/>
      <c r="AG37" s="198"/>
      <c r="AH37" s="198"/>
      <c r="AI37" s="198"/>
      <c r="AJ37" s="198"/>
      <c r="AL37" s="199" t="s">
        <v>57</v>
      </c>
      <c r="AM37" s="199"/>
      <c r="AN37" s="199"/>
      <c r="AO37" s="199"/>
      <c r="AP37" s="199"/>
      <c r="AR37" s="199" t="s">
        <v>103</v>
      </c>
      <c r="AS37" s="199"/>
      <c r="AT37" s="199"/>
      <c r="AU37" s="199"/>
      <c r="AV37" s="199"/>
      <c r="AW37" s="145"/>
      <c r="AX37" s="145"/>
    </row>
    <row r="38" spans="4:50" ht="14.45" customHeight="1" x14ac:dyDescent="0.25">
      <c r="D38" s="152"/>
      <c r="AU38" s="145"/>
      <c r="AV38" s="145"/>
      <c r="AW38" s="145"/>
      <c r="AX38" s="145"/>
    </row>
    <row r="39" spans="4:50" ht="76.150000000000006" customHeight="1" x14ac:dyDescent="0.25">
      <c r="D39" s="152"/>
      <c r="AV39" s="145"/>
      <c r="AW39" s="145"/>
      <c r="AX39" s="145"/>
    </row>
    <row r="40" spans="4:50" ht="14.45" customHeight="1" x14ac:dyDescent="0.25">
      <c r="D40" s="152"/>
      <c r="AC40" s="152" t="s">
        <v>42</v>
      </c>
      <c r="AX40" s="145"/>
    </row>
    <row r="41" spans="4:50" x14ac:dyDescent="0.25">
      <c r="D41" s="152"/>
      <c r="AQ41" s="145"/>
      <c r="AV41" s="145"/>
      <c r="AW41" s="145"/>
      <c r="AX41" s="145"/>
    </row>
    <row r="42" spans="4:50" x14ac:dyDescent="0.25">
      <c r="D42" s="152"/>
      <c r="AQ42" s="145"/>
    </row>
    <row r="43" spans="4:50" x14ac:dyDescent="0.25">
      <c r="D43" s="152"/>
      <c r="AQ43" s="145"/>
      <c r="AR43" s="145"/>
      <c r="AS43" s="145"/>
      <c r="AX43" s="145"/>
    </row>
    <row r="44" spans="4:50" x14ac:dyDescent="0.25">
      <c r="AX44" s="145"/>
    </row>
    <row r="45" spans="4:50" x14ac:dyDescent="0.25">
      <c r="AX45" s="145"/>
    </row>
    <row r="46" spans="4:50" x14ac:dyDescent="0.25">
      <c r="T46" s="51"/>
    </row>
    <row r="48" spans="4:50" x14ac:dyDescent="0.25">
      <c r="AP48" s="50"/>
      <c r="AQ48" s="50"/>
      <c r="AR48" s="50"/>
      <c r="AS48" s="50"/>
    </row>
  </sheetData>
  <mergeCells count="215">
    <mergeCell ref="P26:R26"/>
    <mergeCell ref="E26:N26"/>
    <mergeCell ref="AA26:AJ26"/>
    <mergeCell ref="AL26:AU26"/>
    <mergeCell ref="S26:Y26"/>
    <mergeCell ref="AT35:AV35"/>
    <mergeCell ref="AA37:AJ37"/>
    <mergeCell ref="AL37:AP37"/>
    <mergeCell ref="AR37:AV37"/>
    <mergeCell ref="AA27:AE27"/>
    <mergeCell ref="AF27:AJ27"/>
    <mergeCell ref="AL27:AP27"/>
    <mergeCell ref="AQ27:AU27"/>
    <mergeCell ref="BH26:BJ26"/>
    <mergeCell ref="AF29:AJ29"/>
    <mergeCell ref="AA32:AE32"/>
    <mergeCell ref="AF32:AJ32"/>
    <mergeCell ref="AX25:BA25"/>
    <mergeCell ref="AW26:BE26"/>
    <mergeCell ref="AF24:AJ24"/>
    <mergeCell ref="AM24:AQ24"/>
    <mergeCell ref="AS24:AU24"/>
    <mergeCell ref="AB23:AD23"/>
    <mergeCell ref="AG23:AI23"/>
    <mergeCell ref="AM23:AP23"/>
    <mergeCell ref="AR23:AS23"/>
    <mergeCell ref="AQ21:AU21"/>
    <mergeCell ref="AW21:BE21"/>
    <mergeCell ref="F22:M22"/>
    <mergeCell ref="Q22:U22"/>
    <mergeCell ref="W22:Y22"/>
    <mergeCell ref="AB22:AD22"/>
    <mergeCell ref="AG22:AI22"/>
    <mergeCell ref="AM22:AO22"/>
    <mergeCell ref="AR22:AS22"/>
    <mergeCell ref="AL20:AP20"/>
    <mergeCell ref="AQ20:AU20"/>
    <mergeCell ref="AW20:BE20"/>
    <mergeCell ref="E21:I21"/>
    <mergeCell ref="J21:N21"/>
    <mergeCell ref="P21:T21"/>
    <mergeCell ref="U21:Y21"/>
    <mergeCell ref="AA21:AE21"/>
    <mergeCell ref="AF21:AJ21"/>
    <mergeCell ref="AL21:AP21"/>
    <mergeCell ref="AG19:AI19"/>
    <mergeCell ref="AM19:AO19"/>
    <mergeCell ref="AR19:AT19"/>
    <mergeCell ref="AX19:BA19"/>
    <mergeCell ref="E20:I20"/>
    <mergeCell ref="J20:N20"/>
    <mergeCell ref="P20:T20"/>
    <mergeCell ref="U20:Y20"/>
    <mergeCell ref="AA20:AE20"/>
    <mergeCell ref="AF20:AJ20"/>
    <mergeCell ref="AM18:AO18"/>
    <mergeCell ref="AQ18:AT18"/>
    <mergeCell ref="AX18:BA18"/>
    <mergeCell ref="BC18:BE18"/>
    <mergeCell ref="F19:H19"/>
    <mergeCell ref="K19:M19"/>
    <mergeCell ref="Q19:R19"/>
    <mergeCell ref="V19:W19"/>
    <mergeCell ref="AA19:AB19"/>
    <mergeCell ref="AC19:AD19"/>
    <mergeCell ref="AM17:AO17"/>
    <mergeCell ref="AR17:AS17"/>
    <mergeCell ref="AX17:BA17"/>
    <mergeCell ref="BC17:BE17"/>
    <mergeCell ref="F18:H18"/>
    <mergeCell ref="K18:M18"/>
    <mergeCell ref="P18:S18"/>
    <mergeCell ref="V18:Y18"/>
    <mergeCell ref="AB18:AE18"/>
    <mergeCell ref="AG18:AJ18"/>
    <mergeCell ref="AQ16:AR16"/>
    <mergeCell ref="AS16:AT16"/>
    <mergeCell ref="AX16:BA16"/>
    <mergeCell ref="BC16:BE16"/>
    <mergeCell ref="F17:H17"/>
    <mergeCell ref="K17:M17"/>
    <mergeCell ref="Q17:R17"/>
    <mergeCell ref="V17:X17"/>
    <mergeCell ref="AB17:AC17"/>
    <mergeCell ref="AE17:AF17"/>
    <mergeCell ref="AP15:AT15"/>
    <mergeCell ref="AX15:BA15"/>
    <mergeCell ref="BC15:BE15"/>
    <mergeCell ref="F16:H16"/>
    <mergeCell ref="K16:M16"/>
    <mergeCell ref="Q16:S16"/>
    <mergeCell ref="V16:X16"/>
    <mergeCell ref="AA16:AD16"/>
    <mergeCell ref="AG16:AI16"/>
    <mergeCell ref="AL16:AO16"/>
    <mergeCell ref="AX14:BA14"/>
    <mergeCell ref="BC14:BE14"/>
    <mergeCell ref="E15:H15"/>
    <mergeCell ref="K15:M15"/>
    <mergeCell ref="Q15:R15"/>
    <mergeCell ref="V15:X15"/>
    <mergeCell ref="AA15:AC15"/>
    <mergeCell ref="AG15:AH15"/>
    <mergeCell ref="AI15:AJ15"/>
    <mergeCell ref="AM15:AN15"/>
    <mergeCell ref="AQ13:AS13"/>
    <mergeCell ref="AX13:BA13"/>
    <mergeCell ref="BC13:BE13"/>
    <mergeCell ref="F14:H14"/>
    <mergeCell ref="K14:M14"/>
    <mergeCell ref="Q14:R14"/>
    <mergeCell ref="V14:X14"/>
    <mergeCell ref="AA14:AJ14"/>
    <mergeCell ref="AM14:AN14"/>
    <mergeCell ref="AQ14:AU14"/>
    <mergeCell ref="AL12:AP12"/>
    <mergeCell ref="AQ12:AU12"/>
    <mergeCell ref="AW12:BE12"/>
    <mergeCell ref="F13:H13"/>
    <mergeCell ref="K13:N13"/>
    <mergeCell ref="Q13:S13"/>
    <mergeCell ref="V13:X13"/>
    <mergeCell ref="AA13:AC13"/>
    <mergeCell ref="AG13:AI13"/>
    <mergeCell ref="AM13:AO13"/>
    <mergeCell ref="AM11:AO11"/>
    <mergeCell ref="AQ11:AS11"/>
    <mergeCell ref="AX11:BA11"/>
    <mergeCell ref="BC11:BE11"/>
    <mergeCell ref="E12:I12"/>
    <mergeCell ref="J12:N12"/>
    <mergeCell ref="P12:T12"/>
    <mergeCell ref="U12:Y12"/>
    <mergeCell ref="AA12:AE12"/>
    <mergeCell ref="AF12:AJ12"/>
    <mergeCell ref="AG10:AI10"/>
    <mergeCell ref="AM10:AO10"/>
    <mergeCell ref="AQ10:AS10"/>
    <mergeCell ref="AW10:BE10"/>
    <mergeCell ref="E11:H11"/>
    <mergeCell ref="K11:N11"/>
    <mergeCell ref="Q11:S11"/>
    <mergeCell ref="V11:W11"/>
    <mergeCell ref="AB11:AD11"/>
    <mergeCell ref="AG11:AI11"/>
    <mergeCell ref="AG9:AI9"/>
    <mergeCell ref="AL9:AO9"/>
    <mergeCell ref="AR9:AT9"/>
    <mergeCell ref="AX9:BA9"/>
    <mergeCell ref="BC9:BE9"/>
    <mergeCell ref="F10:H10"/>
    <mergeCell ref="K10:M10"/>
    <mergeCell ref="Q10:S10"/>
    <mergeCell ref="V10:X10"/>
    <mergeCell ref="AA10:AD10"/>
    <mergeCell ref="AM8:AO8"/>
    <mergeCell ref="AQ8:AT8"/>
    <mergeCell ref="AX8:BA8"/>
    <mergeCell ref="BC8:BE8"/>
    <mergeCell ref="BH8:BK8"/>
    <mergeCell ref="F9:H9"/>
    <mergeCell ref="K9:M9"/>
    <mergeCell ref="Q9:S9"/>
    <mergeCell ref="V9:X9"/>
    <mergeCell ref="AB9:AD9"/>
    <mergeCell ref="AM7:AO7"/>
    <mergeCell ref="AQ7:AS7"/>
    <mergeCell ref="AX7:AZ7"/>
    <mergeCell ref="BC7:BE7"/>
    <mergeCell ref="F8:H8"/>
    <mergeCell ref="K8:M8"/>
    <mergeCell ref="Q8:S8"/>
    <mergeCell ref="V8:X8"/>
    <mergeCell ref="AC8:AE8"/>
    <mergeCell ref="AG8:AI8"/>
    <mergeCell ref="AQ6:AS6"/>
    <mergeCell ref="AX6:AZ6"/>
    <mergeCell ref="BB6:BC6"/>
    <mergeCell ref="BH6:BJ6"/>
    <mergeCell ref="F7:H7"/>
    <mergeCell ref="K7:M7"/>
    <mergeCell ref="Q7:S7"/>
    <mergeCell ref="V7:X7"/>
    <mergeCell ref="AB7:AD7"/>
    <mergeCell ref="AF7:AH7"/>
    <mergeCell ref="AW5:AX5"/>
    <mergeCell ref="AY5:AZ5"/>
    <mergeCell ref="BH5:BJ5"/>
    <mergeCell ref="BL5:BN5"/>
    <mergeCell ref="F6:H6"/>
    <mergeCell ref="Q6:S6"/>
    <mergeCell ref="V6:X6"/>
    <mergeCell ref="AA6:AD6"/>
    <mergeCell ref="AG6:AJ6"/>
    <mergeCell ref="AM6:AO6"/>
    <mergeCell ref="AX4:AZ4"/>
    <mergeCell ref="BH4:BK4"/>
    <mergeCell ref="E5:H5"/>
    <mergeCell ref="J5:N5"/>
    <mergeCell ref="V5:Y5"/>
    <mergeCell ref="AB5:AD5"/>
    <mergeCell ref="AG5:AJ5"/>
    <mergeCell ref="AM5:AO5"/>
    <mergeCell ref="AQ5:AR5"/>
    <mergeCell ref="AS5:AU5"/>
    <mergeCell ref="D1:M1"/>
    <mergeCell ref="O1:X1"/>
    <mergeCell ref="Z1:AI1"/>
    <mergeCell ref="AK1:AT1"/>
    <mergeCell ref="AV1:BE1"/>
    <mergeCell ref="V4:X4"/>
    <mergeCell ref="AC4:AD4"/>
    <mergeCell ref="AG4:AI4"/>
    <mergeCell ref="AM4:AO4"/>
    <mergeCell ref="AR4:AT4"/>
  </mergeCells>
  <pageMargins left="0.25" right="0.25" top="0.75" bottom="0.75" header="0.3" footer="0.3"/>
  <pageSetup paperSize="8" scale="59" fitToWidth="0" orientation="portrait" r:id="rId1"/>
  <rowBreaks count="1" manualBreakCount="1">
    <brk id="16" min="3" max="55" man="1"/>
  </rowBreaks>
  <colBreaks count="2" manualBreakCount="2">
    <brk id="25" max="35" man="1"/>
    <brk id="47" max="3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A579-1EF7-4B7A-95DA-96901830FDD5}">
  <sheetPr>
    <pageSetUpPr fitToPage="1"/>
  </sheetPr>
  <dimension ref="A1:BO48"/>
  <sheetViews>
    <sheetView topLeftCell="G1" zoomScale="55" zoomScaleNormal="55" workbookViewId="0">
      <pane ySplit="2" topLeftCell="A16" activePane="bottomLeft" state="frozen"/>
      <selection pane="bottomLeft" activeCell="Q23" sqref="Q23:Y23"/>
    </sheetView>
  </sheetViews>
  <sheetFormatPr baseColWidth="10" defaultColWidth="11.5703125" defaultRowHeight="15" x14ac:dyDescent="0.25"/>
  <cols>
    <col min="1" max="1" width="8.85546875" style="130" customWidth="1"/>
    <col min="2" max="3" width="9" style="130" customWidth="1"/>
    <col min="4" max="4" width="11.7109375" style="5" customWidth="1"/>
    <col min="5" max="5" width="5.85546875" style="130" bestFit="1" customWidth="1"/>
    <col min="6" max="8" width="10.5703125" style="130" customWidth="1"/>
    <col min="9" max="10" width="8" style="130" bestFit="1" customWidth="1"/>
    <col min="11" max="14" width="10.5703125" style="130" customWidth="1"/>
    <col min="15" max="15" width="11" style="130" customWidth="1"/>
    <col min="16" max="16" width="5.85546875" style="130" bestFit="1" customWidth="1"/>
    <col min="17" max="19" width="10.5703125" style="130" customWidth="1"/>
    <col min="20" max="21" width="8" style="130" bestFit="1" customWidth="1"/>
    <col min="22" max="25" width="10.5703125" style="130" customWidth="1"/>
    <col min="26" max="26" width="11.7109375" style="130" customWidth="1"/>
    <col min="27" max="27" width="5.85546875" style="130" bestFit="1" customWidth="1"/>
    <col min="28" max="28" width="10.5703125" style="130" customWidth="1"/>
    <col min="29" max="29" width="11.140625" style="130" customWidth="1"/>
    <col min="30" max="30" width="10.5703125" style="130" customWidth="1"/>
    <col min="31" max="32" width="8" style="130" bestFit="1" customWidth="1"/>
    <col min="33" max="36" width="10.5703125" style="130" customWidth="1"/>
    <col min="37" max="37" width="12" style="130" customWidth="1"/>
    <col min="38" max="38" width="8.42578125" style="130" bestFit="1" customWidth="1"/>
    <col min="39" max="41" width="10.5703125" style="130" customWidth="1"/>
    <col min="42" max="42" width="10.28515625" style="130" bestFit="1" customWidth="1"/>
    <col min="43" max="47" width="10.5703125" style="130" customWidth="1"/>
    <col min="48" max="48" width="11.42578125" style="130" customWidth="1"/>
    <col min="49" max="49" width="5.85546875" style="130" bestFit="1" customWidth="1"/>
    <col min="50" max="52" width="10.5703125" style="130" customWidth="1"/>
    <col min="53" max="53" width="9" style="130" customWidth="1"/>
    <col min="54" max="54" width="8" style="130" customWidth="1"/>
    <col min="55" max="56" width="10.5703125" style="130" customWidth="1"/>
    <col min="57" max="57" width="14.28515625" style="130" customWidth="1"/>
    <col min="58" max="58" width="11.5703125" style="130" customWidth="1"/>
    <col min="59" max="16384" width="11.5703125" style="130"/>
  </cols>
  <sheetData>
    <row r="1" spans="1:66" ht="15.75" thickBot="1" x14ac:dyDescent="0.3">
      <c r="D1" s="153" t="s">
        <v>0</v>
      </c>
      <c r="E1" s="153"/>
      <c r="F1" s="153"/>
      <c r="G1" s="153"/>
      <c r="H1" s="153"/>
      <c r="I1" s="153"/>
      <c r="J1" s="153"/>
      <c r="K1" s="153"/>
      <c r="L1" s="153"/>
      <c r="M1" s="153"/>
      <c r="N1" s="131"/>
      <c r="O1" s="154" t="s">
        <v>1</v>
      </c>
      <c r="P1" s="154"/>
      <c r="Q1" s="154"/>
      <c r="R1" s="154"/>
      <c r="S1" s="154"/>
      <c r="T1" s="154"/>
      <c r="U1" s="154"/>
      <c r="V1" s="154"/>
      <c r="W1" s="154"/>
      <c r="X1" s="154"/>
      <c r="Y1" s="132"/>
      <c r="Z1" s="155" t="s">
        <v>2</v>
      </c>
      <c r="AA1" s="155"/>
      <c r="AB1" s="155"/>
      <c r="AC1" s="155"/>
      <c r="AD1" s="155"/>
      <c r="AE1" s="155"/>
      <c r="AF1" s="155"/>
      <c r="AG1" s="155"/>
      <c r="AH1" s="155"/>
      <c r="AI1" s="155"/>
      <c r="AJ1" s="133"/>
      <c r="AK1" s="156" t="s">
        <v>3</v>
      </c>
      <c r="AL1" s="156"/>
      <c r="AM1" s="156"/>
      <c r="AN1" s="156"/>
      <c r="AO1" s="156"/>
      <c r="AP1" s="156"/>
      <c r="AQ1" s="156"/>
      <c r="AR1" s="156"/>
      <c r="AS1" s="156"/>
      <c r="AT1" s="156"/>
      <c r="AU1" s="134"/>
      <c r="AV1" s="157" t="s">
        <v>4</v>
      </c>
      <c r="AW1" s="157"/>
      <c r="AX1" s="157"/>
      <c r="AY1" s="157"/>
      <c r="AZ1" s="157"/>
      <c r="BA1" s="157"/>
      <c r="BB1" s="157"/>
      <c r="BC1" s="157"/>
      <c r="BD1" s="157"/>
      <c r="BE1" s="157"/>
    </row>
    <row r="2" spans="1:66" ht="48.75" thickBot="1" x14ac:dyDescent="0.3">
      <c r="C2" s="7" t="s">
        <v>45</v>
      </c>
      <c r="D2" s="1" t="s">
        <v>5</v>
      </c>
      <c r="E2" s="8" t="s">
        <v>16</v>
      </c>
      <c r="F2" s="9" t="s">
        <v>17</v>
      </c>
      <c r="G2" s="9" t="s">
        <v>18</v>
      </c>
      <c r="H2" s="9" t="s">
        <v>19</v>
      </c>
      <c r="I2" s="9" t="s">
        <v>24</v>
      </c>
      <c r="J2" s="9" t="s">
        <v>20</v>
      </c>
      <c r="K2" s="9" t="s">
        <v>21</v>
      </c>
      <c r="L2" s="10" t="s">
        <v>22</v>
      </c>
      <c r="M2" s="11" t="s">
        <v>23</v>
      </c>
      <c r="N2" s="12" t="s">
        <v>25</v>
      </c>
      <c r="O2" s="2" t="s">
        <v>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24</v>
      </c>
      <c r="U2" s="9" t="s">
        <v>20</v>
      </c>
      <c r="V2" s="9" t="s">
        <v>21</v>
      </c>
      <c r="W2" s="10" t="s">
        <v>22</v>
      </c>
      <c r="X2" s="11" t="s">
        <v>23</v>
      </c>
      <c r="Y2" s="12" t="s">
        <v>25</v>
      </c>
      <c r="Z2" s="3" t="s">
        <v>5</v>
      </c>
      <c r="AA2" s="9" t="s">
        <v>16</v>
      </c>
      <c r="AB2" s="9" t="s">
        <v>17</v>
      </c>
      <c r="AC2" s="9" t="s">
        <v>18</v>
      </c>
      <c r="AD2" s="9" t="s">
        <v>19</v>
      </c>
      <c r="AE2" s="9" t="s">
        <v>24</v>
      </c>
      <c r="AF2" s="9" t="s">
        <v>20</v>
      </c>
      <c r="AG2" s="9" t="s">
        <v>21</v>
      </c>
      <c r="AH2" s="10" t="s">
        <v>22</v>
      </c>
      <c r="AI2" s="11" t="s">
        <v>23</v>
      </c>
      <c r="AJ2" s="12" t="s">
        <v>25</v>
      </c>
      <c r="AK2" s="3" t="s">
        <v>5</v>
      </c>
      <c r="AL2" s="9" t="s">
        <v>16</v>
      </c>
      <c r="AM2" s="9" t="s">
        <v>17</v>
      </c>
      <c r="AN2" s="9" t="s">
        <v>18</v>
      </c>
      <c r="AO2" s="9" t="s">
        <v>19</v>
      </c>
      <c r="AP2" s="9" t="s">
        <v>24</v>
      </c>
      <c r="AQ2" s="9" t="s">
        <v>20</v>
      </c>
      <c r="AR2" s="9" t="s">
        <v>21</v>
      </c>
      <c r="AS2" s="10" t="s">
        <v>22</v>
      </c>
      <c r="AT2" s="11" t="s">
        <v>23</v>
      </c>
      <c r="AU2" s="12" t="s">
        <v>25</v>
      </c>
      <c r="AV2" s="3" t="s">
        <v>5</v>
      </c>
      <c r="AW2" s="9" t="s">
        <v>16</v>
      </c>
      <c r="AX2" s="9" t="s">
        <v>17</v>
      </c>
      <c r="AY2" s="9" t="s">
        <v>18</v>
      </c>
      <c r="AZ2" s="9" t="s">
        <v>19</v>
      </c>
      <c r="BA2" s="9" t="s">
        <v>24</v>
      </c>
      <c r="BB2" s="9" t="s">
        <v>20</v>
      </c>
      <c r="BC2" s="9" t="s">
        <v>21</v>
      </c>
      <c r="BD2" s="10" t="s">
        <v>22</v>
      </c>
      <c r="BE2" s="126" t="s">
        <v>23</v>
      </c>
      <c r="BF2" s="14" t="s">
        <v>40</v>
      </c>
    </row>
    <row r="3" spans="1:66" x14ac:dyDescent="0.25">
      <c r="A3" s="15">
        <v>45893</v>
      </c>
      <c r="B3" s="15">
        <f>A3+4</f>
        <v>45897</v>
      </c>
      <c r="D3" s="16">
        <f t="shared" ref="D3:D27" si="0">A3</f>
        <v>45893</v>
      </c>
      <c r="E3" s="17"/>
      <c r="F3" s="17"/>
      <c r="G3" s="17"/>
      <c r="H3" s="17"/>
      <c r="I3" s="17"/>
      <c r="J3" s="17"/>
      <c r="K3" s="17"/>
      <c r="L3" s="17"/>
      <c r="M3" s="17"/>
      <c r="N3" s="18"/>
      <c r="O3" s="19">
        <f>A3+1</f>
        <v>45894</v>
      </c>
      <c r="P3" s="17"/>
      <c r="Q3" s="17"/>
      <c r="R3" s="17"/>
      <c r="S3" s="17"/>
      <c r="T3" s="17"/>
      <c r="U3" s="17"/>
      <c r="V3" s="17"/>
      <c r="W3" s="17"/>
      <c r="X3" s="17"/>
      <c r="Y3" s="17"/>
      <c r="Z3" s="19">
        <f>A3+2</f>
        <v>45895</v>
      </c>
      <c r="AA3" s="17"/>
      <c r="AB3" s="17"/>
      <c r="AC3" s="17"/>
      <c r="AD3" s="17"/>
      <c r="AE3" s="127"/>
      <c r="AF3" s="17"/>
      <c r="AG3" s="17"/>
      <c r="AH3" s="17"/>
      <c r="AI3" s="17"/>
      <c r="AJ3" s="17"/>
      <c r="AK3" s="19">
        <f>A3+3</f>
        <v>45896</v>
      </c>
      <c r="AL3" s="17"/>
      <c r="AM3" s="17"/>
      <c r="AN3" s="17"/>
      <c r="AO3" s="17"/>
      <c r="AP3" s="17"/>
      <c r="AQ3" s="17"/>
      <c r="AR3" s="20"/>
      <c r="AS3" s="20"/>
      <c r="AT3" s="20"/>
      <c r="AU3" s="17"/>
      <c r="AV3" s="19">
        <f>A3+4</f>
        <v>45897</v>
      </c>
      <c r="AW3" s="17"/>
      <c r="AX3" s="17"/>
      <c r="AY3" s="17"/>
      <c r="AZ3" s="17"/>
      <c r="BA3" s="17"/>
      <c r="BB3" s="127"/>
      <c r="BC3" s="127"/>
      <c r="BD3" s="127"/>
      <c r="BE3" s="21"/>
      <c r="BF3" s="22"/>
    </row>
    <row r="4" spans="1:66" ht="85.5" customHeight="1" x14ac:dyDescent="0.25">
      <c r="A4" s="15">
        <f>B3+3</f>
        <v>45900</v>
      </c>
      <c r="B4" s="15">
        <f t="shared" ref="B4:B27" si="1">A4+4</f>
        <v>45904</v>
      </c>
      <c r="C4" s="23"/>
      <c r="D4" s="24">
        <f t="shared" si="0"/>
        <v>45900</v>
      </c>
      <c r="E4" s="17"/>
      <c r="F4" s="17"/>
      <c r="I4" s="127"/>
      <c r="J4" s="127"/>
      <c r="M4" s="135"/>
      <c r="N4" s="144"/>
      <c r="O4" s="19">
        <f>O3+7</f>
        <v>45901</v>
      </c>
      <c r="P4" s="127"/>
      <c r="T4" s="127"/>
      <c r="U4" s="127"/>
      <c r="V4" s="158" t="s">
        <v>28</v>
      </c>
      <c r="W4" s="158"/>
      <c r="X4" s="158"/>
      <c r="Y4" s="127"/>
      <c r="Z4" s="19">
        <f>Z3+7</f>
        <v>45902</v>
      </c>
      <c r="AA4" s="17"/>
      <c r="AB4" s="17"/>
      <c r="AC4" s="159" t="s">
        <v>79</v>
      </c>
      <c r="AD4" s="159"/>
      <c r="AE4" s="17"/>
      <c r="AG4" s="160" t="s">
        <v>164</v>
      </c>
      <c r="AH4" s="160"/>
      <c r="AI4" s="160"/>
      <c r="AJ4" s="17"/>
      <c r="AK4" s="19">
        <f>AK3+7</f>
        <v>45903</v>
      </c>
      <c r="AL4" s="17"/>
      <c r="AM4" s="161" t="s">
        <v>32</v>
      </c>
      <c r="AN4" s="162"/>
      <c r="AO4" s="162"/>
      <c r="AP4" s="17"/>
      <c r="AR4" s="160" t="s">
        <v>164</v>
      </c>
      <c r="AS4" s="160"/>
      <c r="AT4" s="160"/>
      <c r="AU4" s="39" t="s">
        <v>161</v>
      </c>
      <c r="AV4" s="19">
        <f>AV3+7</f>
        <v>45904</v>
      </c>
      <c r="AW4" s="17"/>
      <c r="AX4" s="158" t="s">
        <v>27</v>
      </c>
      <c r="AY4" s="158"/>
      <c r="AZ4" s="158"/>
      <c r="BA4" s="17"/>
      <c r="BB4" s="17"/>
      <c r="BC4" s="17"/>
      <c r="BD4" s="17"/>
      <c r="BE4" s="17"/>
      <c r="BF4" s="52"/>
      <c r="BH4" s="164" t="s">
        <v>46</v>
      </c>
      <c r="BI4" s="165"/>
      <c r="BJ4" s="165"/>
      <c r="BK4" s="165"/>
    </row>
    <row r="5" spans="1:66" ht="70.900000000000006" customHeight="1" x14ac:dyDescent="0.25">
      <c r="A5" s="15">
        <f t="shared" ref="A5:A26" si="2">B4+3</f>
        <v>45907</v>
      </c>
      <c r="B5" s="15">
        <f t="shared" si="1"/>
        <v>45911</v>
      </c>
      <c r="D5" s="24">
        <f t="shared" si="0"/>
        <v>45907</v>
      </c>
      <c r="E5" s="166" t="s">
        <v>43</v>
      </c>
      <c r="F5" s="166"/>
      <c r="G5" s="166"/>
      <c r="H5" s="166"/>
      <c r="I5" s="25"/>
      <c r="J5" s="166" t="s">
        <v>43</v>
      </c>
      <c r="K5" s="166"/>
      <c r="L5" s="166"/>
      <c r="M5" s="166"/>
      <c r="N5" s="166"/>
      <c r="O5" s="19">
        <f t="shared" ref="O5:O26" si="3">O4+7</f>
        <v>45908</v>
      </c>
      <c r="T5" s="25"/>
      <c r="V5" s="167" t="s">
        <v>142</v>
      </c>
      <c r="W5" s="167"/>
      <c r="X5" s="167"/>
      <c r="Y5" s="167"/>
      <c r="Z5" s="19">
        <f t="shared" ref="Z5:Z26" si="4">Z4+7</f>
        <v>45909</v>
      </c>
      <c r="AA5" s="17"/>
      <c r="AB5" s="161" t="s">
        <v>32</v>
      </c>
      <c r="AC5" s="162"/>
      <c r="AD5" s="162"/>
      <c r="AE5" s="17"/>
      <c r="AF5" s="17"/>
      <c r="AG5" s="160" t="s">
        <v>227</v>
      </c>
      <c r="AH5" s="160"/>
      <c r="AI5" s="160"/>
      <c r="AJ5" s="160"/>
      <c r="AK5" s="19">
        <f t="shared" ref="AK5:AK26" si="5">AK4+7</f>
        <v>45910</v>
      </c>
      <c r="AL5" s="130" t="s">
        <v>26</v>
      </c>
      <c r="AM5" s="164" t="s">
        <v>61</v>
      </c>
      <c r="AN5" s="164"/>
      <c r="AO5" s="164"/>
      <c r="AP5" s="90" t="s">
        <v>26</v>
      </c>
      <c r="AQ5" s="164" t="s">
        <v>186</v>
      </c>
      <c r="AR5" s="164"/>
      <c r="AS5" s="161" t="s">
        <v>205</v>
      </c>
      <c r="AT5" s="161"/>
      <c r="AU5" s="161"/>
      <c r="AV5" s="19">
        <f t="shared" ref="AV5:AV26" si="6">AV4+7</f>
        <v>45911</v>
      </c>
      <c r="AW5" s="158" t="s">
        <v>27</v>
      </c>
      <c r="AX5" s="158"/>
      <c r="AY5" s="158" t="s">
        <v>28</v>
      </c>
      <c r="AZ5" s="158"/>
      <c r="BB5" s="17"/>
      <c r="BC5" s="17"/>
      <c r="BD5" s="17"/>
      <c r="BE5" s="17"/>
      <c r="BF5" s="52"/>
      <c r="BH5" s="161" t="s">
        <v>51</v>
      </c>
      <c r="BI5" s="162"/>
      <c r="BJ5" s="162"/>
      <c r="BK5" s="127"/>
      <c r="BL5" s="161" t="s">
        <v>51</v>
      </c>
      <c r="BM5" s="162"/>
      <c r="BN5" s="162"/>
    </row>
    <row r="6" spans="1:66" ht="79.900000000000006" customHeight="1" x14ac:dyDescent="0.25">
      <c r="A6" s="15">
        <f t="shared" si="2"/>
        <v>45914</v>
      </c>
      <c r="B6" s="15">
        <f t="shared" si="1"/>
        <v>45918</v>
      </c>
      <c r="D6" s="24">
        <f t="shared" si="0"/>
        <v>45914</v>
      </c>
      <c r="E6" s="17"/>
      <c r="F6" s="158" t="s">
        <v>27</v>
      </c>
      <c r="G6" s="158"/>
      <c r="H6" s="158"/>
      <c r="I6" s="17"/>
      <c r="J6" s="139"/>
      <c r="K6" s="139"/>
      <c r="L6" s="139"/>
      <c r="M6" s="139"/>
      <c r="N6" s="17"/>
      <c r="O6" s="19">
        <f t="shared" si="3"/>
        <v>45915</v>
      </c>
      <c r="P6" s="127"/>
      <c r="Q6" s="158" t="s">
        <v>184</v>
      </c>
      <c r="R6" s="163"/>
      <c r="S6" s="163"/>
      <c r="T6" s="17" t="s">
        <v>26</v>
      </c>
      <c r="U6" s="17"/>
      <c r="V6" s="158" t="s">
        <v>28</v>
      </c>
      <c r="W6" s="158"/>
      <c r="X6" s="158"/>
      <c r="Y6" s="127"/>
      <c r="Z6" s="19">
        <f t="shared" si="4"/>
        <v>45916</v>
      </c>
      <c r="AA6" s="161" t="s">
        <v>63</v>
      </c>
      <c r="AB6" s="161"/>
      <c r="AC6" s="161"/>
      <c r="AD6" s="161"/>
      <c r="AF6" s="17"/>
      <c r="AG6" s="168" t="s">
        <v>173</v>
      </c>
      <c r="AH6" s="168"/>
      <c r="AI6" s="168"/>
      <c r="AJ6" s="168"/>
      <c r="AK6" s="19">
        <f t="shared" si="5"/>
        <v>45917</v>
      </c>
      <c r="AL6" s="130" t="s">
        <v>26</v>
      </c>
      <c r="AM6" s="169" t="s">
        <v>30</v>
      </c>
      <c r="AN6" s="169"/>
      <c r="AO6" s="169"/>
      <c r="AP6" s="79"/>
      <c r="AQ6" s="169" t="s">
        <v>30</v>
      </c>
      <c r="AR6" s="169"/>
      <c r="AS6" s="169"/>
      <c r="AT6" s="17" t="s">
        <v>26</v>
      </c>
      <c r="AU6" s="17"/>
      <c r="AV6" s="19">
        <f t="shared" si="6"/>
        <v>45918</v>
      </c>
      <c r="AW6" s="17"/>
      <c r="AX6" s="170" t="s">
        <v>223</v>
      </c>
      <c r="AY6" s="170"/>
      <c r="AZ6" s="170"/>
      <c r="BA6" s="94"/>
      <c r="BB6" s="171" t="s">
        <v>68</v>
      </c>
      <c r="BC6" s="171"/>
      <c r="BD6" s="17"/>
      <c r="BE6" s="17"/>
      <c r="BF6" s="52"/>
      <c r="BH6" s="161" t="s">
        <v>84</v>
      </c>
      <c r="BI6" s="161"/>
      <c r="BJ6" s="161"/>
    </row>
    <row r="7" spans="1:66" ht="60" customHeight="1" x14ac:dyDescent="0.25">
      <c r="A7" s="15">
        <f t="shared" si="2"/>
        <v>45921</v>
      </c>
      <c r="B7" s="15">
        <f t="shared" si="1"/>
        <v>45925</v>
      </c>
      <c r="C7" s="26" t="s">
        <v>39</v>
      </c>
      <c r="D7" s="24">
        <f t="shared" si="0"/>
        <v>45921</v>
      </c>
      <c r="E7" s="17"/>
      <c r="F7" s="158" t="s">
        <v>27</v>
      </c>
      <c r="G7" s="158"/>
      <c r="H7" s="158"/>
      <c r="I7" s="17"/>
      <c r="J7" s="17"/>
      <c r="K7" s="173" t="s">
        <v>179</v>
      </c>
      <c r="L7" s="173"/>
      <c r="M7" s="173"/>
      <c r="N7" s="17" t="s">
        <v>26</v>
      </c>
      <c r="O7" s="19">
        <f t="shared" si="3"/>
        <v>45922</v>
      </c>
      <c r="P7" s="127"/>
      <c r="Q7" s="172" t="s">
        <v>210</v>
      </c>
      <c r="R7" s="172"/>
      <c r="S7" s="172"/>
      <c r="T7" s="17"/>
      <c r="U7" s="140"/>
      <c r="V7" s="158" t="s">
        <v>28</v>
      </c>
      <c r="W7" s="158"/>
      <c r="X7" s="158"/>
      <c r="Y7" s="127"/>
      <c r="Z7" s="19">
        <f t="shared" si="4"/>
        <v>45923</v>
      </c>
      <c r="AA7" s="26" t="s">
        <v>26</v>
      </c>
      <c r="AB7" s="171" t="s">
        <v>66</v>
      </c>
      <c r="AC7" s="171"/>
      <c r="AD7" s="171"/>
      <c r="AE7" s="26"/>
      <c r="AF7" s="171" t="s">
        <v>65</v>
      </c>
      <c r="AG7" s="171"/>
      <c r="AH7" s="171"/>
      <c r="AI7" s="26" t="s">
        <v>26</v>
      </c>
      <c r="AJ7" s="26"/>
      <c r="AK7" s="19">
        <f t="shared" si="5"/>
        <v>45924</v>
      </c>
      <c r="AL7" s="26" t="s">
        <v>26</v>
      </c>
      <c r="AM7" s="171" t="s">
        <v>65</v>
      </c>
      <c r="AN7" s="171"/>
      <c r="AO7" s="171"/>
      <c r="AP7" s="26"/>
      <c r="AQ7" s="171" t="s">
        <v>65</v>
      </c>
      <c r="AR7" s="171"/>
      <c r="AS7" s="171"/>
      <c r="AT7" s="26" t="s">
        <v>26</v>
      </c>
      <c r="AU7" s="26"/>
      <c r="AV7" s="19">
        <f t="shared" si="6"/>
        <v>45925</v>
      </c>
      <c r="AW7" s="90"/>
      <c r="AX7" s="170" t="s">
        <v>223</v>
      </c>
      <c r="AY7" s="170"/>
      <c r="AZ7" s="170"/>
      <c r="BA7" s="90"/>
      <c r="BB7" s="90"/>
      <c r="BC7" s="172" t="s">
        <v>210</v>
      </c>
      <c r="BD7" s="172"/>
      <c r="BE7" s="172"/>
      <c r="BF7" s="123" t="s">
        <v>39</v>
      </c>
    </row>
    <row r="8" spans="1:66" ht="90.6" customHeight="1" x14ac:dyDescent="0.25">
      <c r="A8" s="15">
        <f t="shared" si="2"/>
        <v>45928</v>
      </c>
      <c r="B8" s="15">
        <f t="shared" si="1"/>
        <v>45932</v>
      </c>
      <c r="D8" s="24">
        <f t="shared" si="0"/>
        <v>45928</v>
      </c>
      <c r="E8" s="17"/>
      <c r="F8" s="158" t="s">
        <v>27</v>
      </c>
      <c r="G8" s="158"/>
      <c r="H8" s="158"/>
      <c r="I8" s="17"/>
      <c r="J8" s="17"/>
      <c r="K8" s="170" t="s">
        <v>60</v>
      </c>
      <c r="L8" s="170"/>
      <c r="M8" s="170"/>
      <c r="N8" s="17"/>
      <c r="O8" s="19">
        <f t="shared" si="3"/>
        <v>45929</v>
      </c>
      <c r="P8" s="17"/>
      <c r="Q8" s="158" t="s">
        <v>154</v>
      </c>
      <c r="R8" s="163"/>
      <c r="S8" s="163"/>
      <c r="T8" s="17"/>
      <c r="U8" s="17"/>
      <c r="V8" s="172" t="s">
        <v>210</v>
      </c>
      <c r="W8" s="172"/>
      <c r="X8" s="172"/>
      <c r="Y8" s="127"/>
      <c r="Z8" s="19">
        <f t="shared" si="4"/>
        <v>45930</v>
      </c>
      <c r="AB8" s="130" t="s">
        <v>26</v>
      </c>
      <c r="AC8" s="164" t="s">
        <v>46</v>
      </c>
      <c r="AD8" s="164"/>
      <c r="AE8" s="164"/>
      <c r="AF8" s="17"/>
      <c r="AG8" s="172" t="s">
        <v>210</v>
      </c>
      <c r="AH8" s="172"/>
      <c r="AI8" s="172"/>
      <c r="AJ8" s="17"/>
      <c r="AK8" s="19">
        <f t="shared" si="5"/>
        <v>45931</v>
      </c>
      <c r="AL8" s="130" t="s">
        <v>26</v>
      </c>
      <c r="AM8" s="169" t="s">
        <v>30</v>
      </c>
      <c r="AN8" s="169"/>
      <c r="AO8" s="169"/>
      <c r="AP8" s="79"/>
      <c r="AQ8" s="169" t="s">
        <v>30</v>
      </c>
      <c r="AR8" s="169"/>
      <c r="AS8" s="169"/>
      <c r="AT8" s="169"/>
      <c r="AU8" s="17" t="s">
        <v>182</v>
      </c>
      <c r="AV8" s="19">
        <f t="shared" si="6"/>
        <v>45932</v>
      </c>
      <c r="AW8" s="90"/>
      <c r="AX8" s="170" t="s">
        <v>223</v>
      </c>
      <c r="AY8" s="170"/>
      <c r="AZ8" s="170"/>
      <c r="BA8" s="170"/>
      <c r="BB8" s="90"/>
      <c r="BC8" s="158" t="s">
        <v>28</v>
      </c>
      <c r="BD8" s="158"/>
      <c r="BE8" s="158"/>
      <c r="BF8" s="52"/>
      <c r="BH8" s="160" t="s">
        <v>75</v>
      </c>
      <c r="BI8" s="160"/>
      <c r="BJ8" s="160"/>
      <c r="BK8" s="160"/>
      <c r="BL8" s="130" t="s">
        <v>160</v>
      </c>
    </row>
    <row r="9" spans="1:66" ht="89.25" customHeight="1" x14ac:dyDescent="0.25">
      <c r="A9" s="15">
        <f t="shared" si="2"/>
        <v>45935</v>
      </c>
      <c r="B9" s="15">
        <f t="shared" si="1"/>
        <v>45939</v>
      </c>
      <c r="D9" s="24">
        <f t="shared" si="0"/>
        <v>45935</v>
      </c>
      <c r="E9" s="17"/>
      <c r="F9" s="158" t="s">
        <v>27</v>
      </c>
      <c r="G9" s="158"/>
      <c r="H9" s="158"/>
      <c r="I9" s="17"/>
      <c r="J9" s="17"/>
      <c r="K9" s="173" t="s">
        <v>179</v>
      </c>
      <c r="L9" s="173"/>
      <c r="M9" s="173"/>
      <c r="N9" s="17" t="s">
        <v>26</v>
      </c>
      <c r="O9" s="19">
        <f t="shared" si="3"/>
        <v>45936</v>
      </c>
      <c r="P9" s="17"/>
      <c r="Q9" s="158" t="s">
        <v>154</v>
      </c>
      <c r="R9" s="163"/>
      <c r="S9" s="163"/>
      <c r="T9" s="17"/>
      <c r="U9" s="17"/>
      <c r="V9" s="158" t="s">
        <v>28</v>
      </c>
      <c r="W9" s="158"/>
      <c r="X9" s="158"/>
      <c r="Y9" s="127"/>
      <c r="Z9" s="19">
        <f t="shared" si="4"/>
        <v>45937</v>
      </c>
      <c r="AA9" s="28"/>
      <c r="AB9" s="172" t="s">
        <v>68</v>
      </c>
      <c r="AC9" s="172"/>
      <c r="AD9" s="172"/>
      <c r="AE9" s="28"/>
      <c r="AF9" s="28"/>
      <c r="AG9" s="172" t="s">
        <v>68</v>
      </c>
      <c r="AH9" s="172"/>
      <c r="AI9" s="172"/>
      <c r="AJ9" s="17"/>
      <c r="AK9" s="19">
        <f t="shared" si="5"/>
        <v>45938</v>
      </c>
      <c r="AL9" s="175" t="s">
        <v>200</v>
      </c>
      <c r="AM9" s="175"/>
      <c r="AN9" s="175"/>
      <c r="AO9" s="175"/>
      <c r="AP9" s="130" t="s">
        <v>191</v>
      </c>
      <c r="AR9" s="169" t="s">
        <v>168</v>
      </c>
      <c r="AS9" s="169"/>
      <c r="AT9" s="169"/>
      <c r="AU9" s="17" t="s">
        <v>167</v>
      </c>
      <c r="AV9" s="19">
        <f t="shared" si="6"/>
        <v>45939</v>
      </c>
      <c r="AW9" s="53"/>
      <c r="AX9" s="170" t="s">
        <v>190</v>
      </c>
      <c r="AY9" s="170"/>
      <c r="AZ9" s="170"/>
      <c r="BA9" s="170"/>
      <c r="BB9" s="53"/>
      <c r="BC9" s="172" t="s">
        <v>210</v>
      </c>
      <c r="BD9" s="172"/>
      <c r="BE9" s="172"/>
      <c r="BF9" s="52"/>
    </row>
    <row r="10" spans="1:66" ht="73.900000000000006" customHeight="1" x14ac:dyDescent="0.25">
      <c r="A10" s="15">
        <f t="shared" si="2"/>
        <v>45942</v>
      </c>
      <c r="B10" s="15">
        <f t="shared" si="1"/>
        <v>45946</v>
      </c>
      <c r="D10" s="24">
        <f t="shared" si="0"/>
        <v>45942</v>
      </c>
      <c r="E10" s="17"/>
      <c r="F10" s="158" t="s">
        <v>27</v>
      </c>
      <c r="G10" s="158"/>
      <c r="H10" s="158"/>
      <c r="I10" s="17"/>
      <c r="J10" s="17"/>
      <c r="K10" s="170" t="s">
        <v>60</v>
      </c>
      <c r="L10" s="170"/>
      <c r="M10" s="170"/>
      <c r="N10" s="17"/>
      <c r="O10" s="19">
        <f t="shared" si="3"/>
        <v>45943</v>
      </c>
      <c r="P10" s="17"/>
      <c r="Q10" s="158" t="s">
        <v>155</v>
      </c>
      <c r="R10" s="163"/>
      <c r="S10" s="163"/>
      <c r="T10" s="17"/>
      <c r="U10" s="17"/>
      <c r="V10" s="158" t="s">
        <v>28</v>
      </c>
      <c r="W10" s="158"/>
      <c r="X10" s="158"/>
      <c r="Y10" s="17"/>
      <c r="Z10" s="19">
        <f t="shared" si="4"/>
        <v>45944</v>
      </c>
      <c r="AA10" s="168" t="s">
        <v>173</v>
      </c>
      <c r="AB10" s="168"/>
      <c r="AC10" s="168"/>
      <c r="AD10" s="168"/>
      <c r="AE10" s="28"/>
      <c r="AF10" s="28"/>
      <c r="AG10" s="172" t="s">
        <v>68</v>
      </c>
      <c r="AH10" s="172"/>
      <c r="AI10" s="172"/>
      <c r="AJ10" s="17"/>
      <c r="AK10" s="19">
        <f t="shared" si="5"/>
        <v>45945</v>
      </c>
      <c r="AL10" s="17"/>
      <c r="AM10" s="171" t="s">
        <v>219</v>
      </c>
      <c r="AN10" s="171"/>
      <c r="AO10" s="171"/>
      <c r="AP10" s="53"/>
      <c r="AQ10" s="171" t="s">
        <v>174</v>
      </c>
      <c r="AR10" s="171"/>
      <c r="AS10" s="171"/>
      <c r="AV10" s="19">
        <f t="shared" si="6"/>
        <v>45946</v>
      </c>
      <c r="AW10" s="174" t="s">
        <v>222</v>
      </c>
      <c r="AX10" s="174"/>
      <c r="AY10" s="174"/>
      <c r="AZ10" s="174"/>
      <c r="BA10" s="174"/>
      <c r="BB10" s="174"/>
      <c r="BC10" s="174"/>
      <c r="BD10" s="174"/>
      <c r="BE10" s="174"/>
      <c r="BF10" s="52"/>
    </row>
    <row r="11" spans="1:66" ht="89.25" customHeight="1" x14ac:dyDescent="0.25">
      <c r="A11" s="15">
        <f t="shared" si="2"/>
        <v>45949</v>
      </c>
      <c r="B11" s="15">
        <f t="shared" si="1"/>
        <v>45953</v>
      </c>
      <c r="C11" s="26" t="s">
        <v>39</v>
      </c>
      <c r="D11" s="24">
        <f t="shared" si="0"/>
        <v>45949</v>
      </c>
      <c r="E11" s="170" t="s">
        <v>190</v>
      </c>
      <c r="F11" s="170"/>
      <c r="G11" s="170"/>
      <c r="H11" s="170"/>
      <c r="J11" s="17"/>
      <c r="K11" s="173" t="s">
        <v>179</v>
      </c>
      <c r="L11" s="173"/>
      <c r="M11" s="173"/>
      <c r="N11" s="173"/>
      <c r="O11" s="19">
        <f t="shared" si="3"/>
        <v>45950</v>
      </c>
      <c r="Q11" s="158" t="s">
        <v>154</v>
      </c>
      <c r="R11" s="163"/>
      <c r="S11" s="163"/>
      <c r="V11" s="170" t="s">
        <v>185</v>
      </c>
      <c r="W11" s="170"/>
      <c r="X11" s="129" t="s">
        <v>180</v>
      </c>
      <c r="Y11" s="130" t="s">
        <v>26</v>
      </c>
      <c r="Z11" s="19">
        <f t="shared" si="4"/>
        <v>45951</v>
      </c>
      <c r="AA11" s="26" t="s">
        <v>26</v>
      </c>
      <c r="AB11" s="169" t="s">
        <v>47</v>
      </c>
      <c r="AC11" s="169"/>
      <c r="AD11" s="169"/>
      <c r="AE11" s="26"/>
      <c r="AF11" s="26"/>
      <c r="AG11" s="169" t="s">
        <v>48</v>
      </c>
      <c r="AH11" s="169"/>
      <c r="AI11" s="169"/>
      <c r="AJ11" s="26" t="s">
        <v>26</v>
      </c>
      <c r="AK11" s="19">
        <f t="shared" si="5"/>
        <v>45952</v>
      </c>
      <c r="AL11" s="26" t="s">
        <v>26</v>
      </c>
      <c r="AM11" s="169" t="s">
        <v>47</v>
      </c>
      <c r="AN11" s="169"/>
      <c r="AO11" s="169"/>
      <c r="AP11" s="26"/>
      <c r="AQ11" s="169" t="s">
        <v>48</v>
      </c>
      <c r="AR11" s="169"/>
      <c r="AS11" s="169"/>
      <c r="AT11" s="26" t="s">
        <v>26</v>
      </c>
      <c r="AU11" s="26"/>
      <c r="AV11" s="19">
        <f t="shared" si="6"/>
        <v>45953</v>
      </c>
      <c r="AW11" s="53"/>
      <c r="AX11" s="170" t="s">
        <v>190</v>
      </c>
      <c r="AY11" s="170"/>
      <c r="AZ11" s="170"/>
      <c r="BA11" s="170"/>
      <c r="BB11" s="53"/>
      <c r="BC11" s="172" t="s">
        <v>210</v>
      </c>
      <c r="BD11" s="172"/>
      <c r="BE11" s="172"/>
      <c r="BF11" s="123" t="s">
        <v>39</v>
      </c>
    </row>
    <row r="12" spans="1:66" ht="48.75" customHeight="1" x14ac:dyDescent="0.25">
      <c r="A12" s="15">
        <f t="shared" si="2"/>
        <v>45956</v>
      </c>
      <c r="B12" s="15">
        <f t="shared" si="1"/>
        <v>45960</v>
      </c>
      <c r="C12" s="130" t="s">
        <v>153</v>
      </c>
      <c r="D12" s="24">
        <f t="shared" si="0"/>
        <v>45956</v>
      </c>
      <c r="E12" s="176" t="s">
        <v>44</v>
      </c>
      <c r="F12" s="176"/>
      <c r="G12" s="176"/>
      <c r="H12" s="176"/>
      <c r="I12" s="176"/>
      <c r="J12" s="176" t="s">
        <v>44</v>
      </c>
      <c r="K12" s="176"/>
      <c r="L12" s="176"/>
      <c r="M12" s="176"/>
      <c r="N12" s="176"/>
      <c r="O12" s="19">
        <f t="shared" si="3"/>
        <v>45957</v>
      </c>
      <c r="P12" s="176" t="s">
        <v>44</v>
      </c>
      <c r="Q12" s="176"/>
      <c r="R12" s="176"/>
      <c r="S12" s="176"/>
      <c r="T12" s="176"/>
      <c r="U12" s="176" t="s">
        <v>44</v>
      </c>
      <c r="V12" s="176"/>
      <c r="W12" s="176"/>
      <c r="X12" s="176"/>
      <c r="Y12" s="176"/>
      <c r="Z12" s="19">
        <f t="shared" si="4"/>
        <v>45958</v>
      </c>
      <c r="AA12" s="176" t="s">
        <v>44</v>
      </c>
      <c r="AB12" s="176"/>
      <c r="AC12" s="176"/>
      <c r="AD12" s="176"/>
      <c r="AE12" s="176"/>
      <c r="AF12" s="176" t="s">
        <v>44</v>
      </c>
      <c r="AG12" s="176"/>
      <c r="AH12" s="176"/>
      <c r="AI12" s="176"/>
      <c r="AJ12" s="176"/>
      <c r="AK12" s="19">
        <f t="shared" si="5"/>
        <v>45959</v>
      </c>
      <c r="AL12" s="176" t="s">
        <v>44</v>
      </c>
      <c r="AM12" s="176"/>
      <c r="AN12" s="176"/>
      <c r="AO12" s="176"/>
      <c r="AP12" s="176"/>
      <c r="AQ12" s="176" t="s">
        <v>44</v>
      </c>
      <c r="AR12" s="176"/>
      <c r="AS12" s="176"/>
      <c r="AT12" s="176"/>
      <c r="AU12" s="176"/>
      <c r="AV12" s="19">
        <f t="shared" si="6"/>
        <v>45960</v>
      </c>
      <c r="AW12" s="176" t="s">
        <v>44</v>
      </c>
      <c r="AX12" s="176"/>
      <c r="AY12" s="176"/>
      <c r="AZ12" s="176"/>
      <c r="BA12" s="176"/>
      <c r="BB12" s="176"/>
      <c r="BC12" s="176"/>
      <c r="BD12" s="176"/>
      <c r="BE12" s="176"/>
      <c r="BF12" s="52"/>
    </row>
    <row r="13" spans="1:66" ht="75" customHeight="1" x14ac:dyDescent="0.25">
      <c r="A13" s="15">
        <f t="shared" si="2"/>
        <v>45963</v>
      </c>
      <c r="B13" s="15">
        <f t="shared" si="1"/>
        <v>45967</v>
      </c>
      <c r="D13" s="24">
        <f t="shared" si="0"/>
        <v>45963</v>
      </c>
      <c r="E13" s="127"/>
      <c r="F13" s="158" t="s">
        <v>177</v>
      </c>
      <c r="G13" s="158"/>
      <c r="H13" s="158"/>
      <c r="I13" s="17" t="s">
        <v>26</v>
      </c>
      <c r="J13" s="17"/>
      <c r="K13" s="170" t="s">
        <v>198</v>
      </c>
      <c r="L13" s="170"/>
      <c r="M13" s="170"/>
      <c r="N13" s="170"/>
      <c r="O13" s="19">
        <f t="shared" si="3"/>
        <v>45964</v>
      </c>
      <c r="P13" s="127"/>
      <c r="Q13" s="158" t="s">
        <v>154</v>
      </c>
      <c r="R13" s="158"/>
      <c r="S13" s="158"/>
      <c r="T13" s="74"/>
      <c r="U13" s="74"/>
      <c r="V13" s="172" t="s">
        <v>210</v>
      </c>
      <c r="W13" s="172"/>
      <c r="X13" s="172"/>
      <c r="Y13" s="127"/>
      <c r="Z13" s="19">
        <f t="shared" si="4"/>
        <v>45965</v>
      </c>
      <c r="AA13" s="169" t="s">
        <v>165</v>
      </c>
      <c r="AB13" s="169"/>
      <c r="AC13" s="169"/>
      <c r="AD13" s="130" t="s">
        <v>26</v>
      </c>
      <c r="AE13" s="127"/>
      <c r="AF13" s="127" t="s">
        <v>26</v>
      </c>
      <c r="AG13" s="180" t="s">
        <v>233</v>
      </c>
      <c r="AH13" s="180"/>
      <c r="AI13" s="180"/>
      <c r="AJ13" s="127"/>
      <c r="AK13" s="19">
        <f t="shared" si="5"/>
        <v>45966</v>
      </c>
      <c r="AL13" s="17" t="s">
        <v>166</v>
      </c>
      <c r="AM13" s="161" t="s">
        <v>51</v>
      </c>
      <c r="AN13" s="162"/>
      <c r="AO13" s="162"/>
      <c r="AP13" s="127"/>
      <c r="AQ13" s="161" t="s">
        <v>51</v>
      </c>
      <c r="AR13" s="162"/>
      <c r="AS13" s="162"/>
      <c r="AT13" s="130" t="s">
        <v>167</v>
      </c>
      <c r="AV13" s="19">
        <f t="shared" si="6"/>
        <v>45967</v>
      </c>
      <c r="AW13" s="17"/>
      <c r="AX13" s="181" t="s">
        <v>98</v>
      </c>
      <c r="AY13" s="181"/>
      <c r="AZ13" s="181"/>
      <c r="BA13" s="181"/>
      <c r="BB13" s="17"/>
      <c r="BC13" s="172" t="s">
        <v>210</v>
      </c>
      <c r="BD13" s="172"/>
      <c r="BE13" s="172"/>
      <c r="BF13" s="52"/>
    </row>
    <row r="14" spans="1:66" ht="72" customHeight="1" x14ac:dyDescent="0.25">
      <c r="A14" s="15">
        <f t="shared" si="2"/>
        <v>45970</v>
      </c>
      <c r="B14" s="15">
        <f t="shared" si="1"/>
        <v>45974</v>
      </c>
      <c r="C14" s="23"/>
      <c r="D14" s="24">
        <f t="shared" si="0"/>
        <v>45970</v>
      </c>
      <c r="E14" s="127"/>
      <c r="F14" s="158" t="s">
        <v>177</v>
      </c>
      <c r="G14" s="158"/>
      <c r="H14" s="158"/>
      <c r="I14" s="17" t="s">
        <v>26</v>
      </c>
      <c r="J14" s="17"/>
      <c r="K14" s="172" t="s">
        <v>210</v>
      </c>
      <c r="L14" s="172"/>
      <c r="M14" s="172"/>
      <c r="N14" s="17"/>
      <c r="O14" s="19">
        <f t="shared" si="3"/>
        <v>45971</v>
      </c>
      <c r="P14" s="74"/>
      <c r="Q14" s="177" t="s">
        <v>109</v>
      </c>
      <c r="R14" s="177"/>
      <c r="S14" s="137" t="s">
        <v>162</v>
      </c>
      <c r="T14" s="74"/>
      <c r="U14" s="74"/>
      <c r="V14" s="172" t="s">
        <v>210</v>
      </c>
      <c r="W14" s="172"/>
      <c r="X14" s="172"/>
      <c r="Y14" s="74"/>
      <c r="Z14" s="19">
        <f t="shared" si="4"/>
        <v>45972</v>
      </c>
      <c r="AA14" s="176" t="s">
        <v>54</v>
      </c>
      <c r="AB14" s="176"/>
      <c r="AC14" s="176"/>
      <c r="AD14" s="176"/>
      <c r="AE14" s="176"/>
      <c r="AF14" s="176"/>
      <c r="AG14" s="176"/>
      <c r="AH14" s="176"/>
      <c r="AI14" s="176"/>
      <c r="AJ14" s="176"/>
      <c r="AK14" s="19">
        <f t="shared" si="5"/>
        <v>45973</v>
      </c>
      <c r="AM14" s="164" t="s">
        <v>232</v>
      </c>
      <c r="AN14" s="164"/>
      <c r="AP14" s="130" t="s">
        <v>26</v>
      </c>
      <c r="AQ14" s="169" t="s">
        <v>33</v>
      </c>
      <c r="AR14" s="169"/>
      <c r="AS14" s="169"/>
      <c r="AT14" s="169"/>
      <c r="AU14" s="169"/>
      <c r="AV14" s="19">
        <f t="shared" si="6"/>
        <v>45974</v>
      </c>
      <c r="AW14" s="130" t="s">
        <v>167</v>
      </c>
      <c r="AX14" s="178" t="s">
        <v>221</v>
      </c>
      <c r="AY14" s="179"/>
      <c r="AZ14" s="179"/>
      <c r="BA14" s="179"/>
      <c r="BB14" s="17"/>
      <c r="BC14" s="172" t="s">
        <v>210</v>
      </c>
      <c r="BD14" s="172"/>
      <c r="BE14" s="172"/>
      <c r="BF14" s="124"/>
    </row>
    <row r="15" spans="1:66" ht="60" customHeight="1" x14ac:dyDescent="0.25">
      <c r="A15" s="15">
        <f t="shared" si="2"/>
        <v>45977</v>
      </c>
      <c r="B15" s="15">
        <f t="shared" si="1"/>
        <v>45981</v>
      </c>
      <c r="C15" s="23"/>
      <c r="D15" s="24">
        <f t="shared" si="0"/>
        <v>45977</v>
      </c>
      <c r="E15" s="158" t="s">
        <v>177</v>
      </c>
      <c r="F15" s="158"/>
      <c r="G15" s="158"/>
      <c r="H15" s="158"/>
      <c r="I15" s="17" t="s">
        <v>26</v>
      </c>
      <c r="J15" s="17"/>
      <c r="K15" s="172" t="s">
        <v>210</v>
      </c>
      <c r="L15" s="172"/>
      <c r="M15" s="172"/>
      <c r="N15" s="17"/>
      <c r="O15" s="19">
        <f t="shared" si="3"/>
        <v>45978</v>
      </c>
      <c r="P15" s="17"/>
      <c r="Q15" s="177" t="s">
        <v>129</v>
      </c>
      <c r="R15" s="182"/>
      <c r="S15" s="136" t="s">
        <v>162</v>
      </c>
      <c r="T15" s="17"/>
      <c r="U15" s="17"/>
      <c r="V15" s="172" t="s">
        <v>210</v>
      </c>
      <c r="W15" s="172"/>
      <c r="X15" s="172"/>
      <c r="Y15" s="17"/>
      <c r="Z15" s="19">
        <f t="shared" si="4"/>
        <v>45979</v>
      </c>
      <c r="AA15" s="169" t="s">
        <v>165</v>
      </c>
      <c r="AB15" s="169"/>
      <c r="AC15" s="169"/>
      <c r="AD15" s="127" t="s">
        <v>26</v>
      </c>
      <c r="AE15" s="127"/>
      <c r="AF15" s="127" t="s">
        <v>26</v>
      </c>
      <c r="AG15" s="180" t="s">
        <v>208</v>
      </c>
      <c r="AH15" s="180"/>
      <c r="AI15" s="183"/>
      <c r="AJ15" s="183"/>
      <c r="AK15" s="19">
        <f t="shared" si="5"/>
        <v>45980</v>
      </c>
      <c r="AL15" s="74" t="s">
        <v>167</v>
      </c>
      <c r="AM15" s="164" t="s">
        <v>145</v>
      </c>
      <c r="AN15" s="164"/>
      <c r="AO15" s="17" t="s">
        <v>26</v>
      </c>
      <c r="AP15" s="169" t="s">
        <v>33</v>
      </c>
      <c r="AQ15" s="169"/>
      <c r="AR15" s="169"/>
      <c r="AS15" s="169"/>
      <c r="AT15" s="169"/>
      <c r="AU15" s="55" t="s">
        <v>77</v>
      </c>
      <c r="AV15" s="19">
        <f t="shared" si="6"/>
        <v>45981</v>
      </c>
      <c r="AW15" s="130" t="s">
        <v>167</v>
      </c>
      <c r="AX15" s="178" t="s">
        <v>221</v>
      </c>
      <c r="AY15" s="179"/>
      <c r="AZ15" s="179"/>
      <c r="BA15" s="179"/>
      <c r="BB15" s="17"/>
      <c r="BC15" s="171" t="s">
        <v>68</v>
      </c>
      <c r="BD15" s="171"/>
      <c r="BE15" s="171"/>
      <c r="BF15" s="124"/>
    </row>
    <row r="16" spans="1:66" ht="72" customHeight="1" x14ac:dyDescent="0.25">
      <c r="A16" s="15">
        <f t="shared" si="2"/>
        <v>45984</v>
      </c>
      <c r="B16" s="15">
        <f t="shared" si="1"/>
        <v>45988</v>
      </c>
      <c r="C16" s="26" t="s">
        <v>39</v>
      </c>
      <c r="D16" s="24">
        <f t="shared" si="0"/>
        <v>45984</v>
      </c>
      <c r="F16" s="170" t="s">
        <v>224</v>
      </c>
      <c r="G16" s="170"/>
      <c r="H16" s="170"/>
      <c r="I16" s="17"/>
      <c r="J16" s="17"/>
      <c r="K16" s="172" t="s">
        <v>210</v>
      </c>
      <c r="L16" s="172"/>
      <c r="M16" s="172"/>
      <c r="N16" s="17"/>
      <c r="O16" s="19">
        <f t="shared" si="3"/>
        <v>45985</v>
      </c>
      <c r="P16" s="17"/>
      <c r="Q16" s="177" t="s">
        <v>110</v>
      </c>
      <c r="R16" s="177"/>
      <c r="S16" s="177"/>
      <c r="T16" s="17" t="s">
        <v>162</v>
      </c>
      <c r="U16" s="17"/>
      <c r="V16" s="172" t="s">
        <v>210</v>
      </c>
      <c r="W16" s="172"/>
      <c r="X16" s="172"/>
      <c r="Y16" s="130" t="s">
        <v>162</v>
      </c>
      <c r="Z16" s="19">
        <f t="shared" si="4"/>
        <v>45986</v>
      </c>
      <c r="AA16" s="169" t="s">
        <v>165</v>
      </c>
      <c r="AB16" s="169"/>
      <c r="AC16" s="169"/>
      <c r="AD16" s="169"/>
      <c r="AE16" s="127" t="s">
        <v>26</v>
      </c>
      <c r="AG16" s="160" t="s">
        <v>86</v>
      </c>
      <c r="AH16" s="187"/>
      <c r="AI16" s="187"/>
      <c r="AJ16" s="83"/>
      <c r="AK16" s="19">
        <f t="shared" si="5"/>
        <v>45987</v>
      </c>
      <c r="AL16" s="168" t="s">
        <v>173</v>
      </c>
      <c r="AM16" s="168"/>
      <c r="AN16" s="168"/>
      <c r="AO16" s="168"/>
      <c r="AP16" s="17" t="s">
        <v>183</v>
      </c>
      <c r="AQ16" s="164" t="s">
        <v>53</v>
      </c>
      <c r="AR16" s="164"/>
      <c r="AS16" s="164" t="s">
        <v>101</v>
      </c>
      <c r="AT16" s="164"/>
      <c r="AU16" s="55" t="s">
        <v>77</v>
      </c>
      <c r="AV16" s="19">
        <f t="shared" si="6"/>
        <v>45988</v>
      </c>
      <c r="AW16" s="130" t="s">
        <v>167</v>
      </c>
      <c r="AX16" s="178" t="s">
        <v>221</v>
      </c>
      <c r="AY16" s="179"/>
      <c r="AZ16" s="179"/>
      <c r="BA16" s="179"/>
      <c r="BB16" s="17"/>
      <c r="BC16" s="171" t="s">
        <v>68</v>
      </c>
      <c r="BD16" s="171"/>
      <c r="BE16" s="171"/>
      <c r="BF16" s="123" t="s">
        <v>39</v>
      </c>
    </row>
    <row r="17" spans="1:67" ht="69" customHeight="1" x14ac:dyDescent="0.25">
      <c r="A17" s="15">
        <f t="shared" si="2"/>
        <v>45991</v>
      </c>
      <c r="B17" s="15">
        <f t="shared" si="1"/>
        <v>45995</v>
      </c>
      <c r="C17" s="28"/>
      <c r="D17" s="24">
        <f t="shared" si="0"/>
        <v>45991</v>
      </c>
      <c r="E17" s="17"/>
      <c r="F17" s="170" t="s">
        <v>225</v>
      </c>
      <c r="G17" s="170"/>
      <c r="H17" s="170"/>
      <c r="I17" s="17"/>
      <c r="J17" s="17"/>
      <c r="K17" s="172" t="s">
        <v>210</v>
      </c>
      <c r="L17" s="172"/>
      <c r="M17" s="172"/>
      <c r="N17" s="17"/>
      <c r="O17" s="19">
        <f t="shared" si="3"/>
        <v>45992</v>
      </c>
      <c r="Q17" s="177" t="s">
        <v>215</v>
      </c>
      <c r="R17" s="177"/>
      <c r="S17" s="136" t="s">
        <v>162</v>
      </c>
      <c r="V17" s="184" t="s">
        <v>226</v>
      </c>
      <c r="W17" s="184"/>
      <c r="X17" s="184"/>
      <c r="Z17" s="19">
        <f t="shared" si="4"/>
        <v>45993</v>
      </c>
      <c r="AA17" s="26" t="s">
        <v>217</v>
      </c>
      <c r="AB17" s="185" t="s">
        <v>159</v>
      </c>
      <c r="AC17" s="186"/>
      <c r="AD17" s="26" t="s">
        <v>217</v>
      </c>
      <c r="AE17" s="185" t="s">
        <v>120</v>
      </c>
      <c r="AF17" s="186"/>
      <c r="AG17" s="26"/>
      <c r="AH17" s="26"/>
      <c r="AI17" s="26"/>
      <c r="AJ17" s="26"/>
      <c r="AK17" s="19">
        <f t="shared" si="5"/>
        <v>45994</v>
      </c>
      <c r="AL17" s="26"/>
      <c r="AM17" s="158" t="s">
        <v>203</v>
      </c>
      <c r="AN17" s="158"/>
      <c r="AO17" s="158"/>
      <c r="AP17" s="26"/>
      <c r="AQ17" s="26"/>
      <c r="AR17" s="158" t="s">
        <v>202</v>
      </c>
      <c r="AS17" s="158"/>
      <c r="AT17" s="26"/>
      <c r="AU17" s="26"/>
      <c r="AV17" s="19">
        <f t="shared" si="6"/>
        <v>45995</v>
      </c>
      <c r="AW17" s="130" t="s">
        <v>167</v>
      </c>
      <c r="AX17" s="178" t="s">
        <v>221</v>
      </c>
      <c r="AY17" s="179"/>
      <c r="AZ17" s="179"/>
      <c r="BA17" s="179"/>
      <c r="BB17" s="17"/>
      <c r="BC17" s="171" t="s">
        <v>68</v>
      </c>
      <c r="BD17" s="171"/>
      <c r="BE17" s="171"/>
      <c r="BF17" s="52"/>
      <c r="BG17" s="59"/>
      <c r="BK17" s="59"/>
    </row>
    <row r="18" spans="1:67" ht="86.25" customHeight="1" x14ac:dyDescent="0.25">
      <c r="A18" s="15">
        <f t="shared" si="2"/>
        <v>45998</v>
      </c>
      <c r="B18" s="15">
        <f t="shared" si="1"/>
        <v>46002</v>
      </c>
      <c r="C18" s="28"/>
      <c r="D18" s="24">
        <f t="shared" si="0"/>
        <v>45998</v>
      </c>
      <c r="E18" s="17"/>
      <c r="F18" s="172" t="s">
        <v>210</v>
      </c>
      <c r="G18" s="172"/>
      <c r="H18" s="172"/>
      <c r="I18" s="17"/>
      <c r="J18" s="17"/>
      <c r="K18" s="172" t="s">
        <v>210</v>
      </c>
      <c r="L18" s="172"/>
      <c r="M18" s="172"/>
      <c r="N18" s="17"/>
      <c r="O18" s="19">
        <f t="shared" si="3"/>
        <v>45999</v>
      </c>
      <c r="P18" s="164" t="s">
        <v>121</v>
      </c>
      <c r="Q18" s="164"/>
      <c r="R18" s="164"/>
      <c r="S18" s="164"/>
      <c r="T18" s="17" t="s">
        <v>167</v>
      </c>
      <c r="U18" s="17" t="s">
        <v>167</v>
      </c>
      <c r="V18" s="164" t="s">
        <v>123</v>
      </c>
      <c r="W18" s="164"/>
      <c r="X18" s="164"/>
      <c r="Y18" s="164"/>
      <c r="Z18" s="19">
        <f t="shared" si="4"/>
        <v>46000</v>
      </c>
      <c r="AA18" s="17" t="s">
        <v>167</v>
      </c>
      <c r="AB18" s="188" t="s">
        <v>144</v>
      </c>
      <c r="AC18" s="188"/>
      <c r="AD18" s="188"/>
      <c r="AE18" s="188"/>
      <c r="AF18" s="17" t="s">
        <v>167</v>
      </c>
      <c r="AG18" s="188" t="s">
        <v>199</v>
      </c>
      <c r="AH18" s="188"/>
      <c r="AI18" s="188"/>
      <c r="AJ18" s="188"/>
      <c r="AK18" s="19">
        <f t="shared" si="5"/>
        <v>46001</v>
      </c>
      <c r="AL18" s="130" t="s">
        <v>167</v>
      </c>
      <c r="AM18" s="169" t="s">
        <v>76</v>
      </c>
      <c r="AN18" s="169"/>
      <c r="AO18" s="169"/>
      <c r="AQ18" s="168" t="s">
        <v>173</v>
      </c>
      <c r="AR18" s="168"/>
      <c r="AS18" s="168"/>
      <c r="AT18" s="168"/>
      <c r="AV18" s="19">
        <f t="shared" si="6"/>
        <v>46002</v>
      </c>
      <c r="AW18" s="130" t="s">
        <v>167</v>
      </c>
      <c r="AX18" s="178" t="s">
        <v>221</v>
      </c>
      <c r="AY18" s="179"/>
      <c r="AZ18" s="179"/>
      <c r="BA18" s="179"/>
      <c r="BB18" s="17"/>
      <c r="BC18" s="171" t="s">
        <v>68</v>
      </c>
      <c r="BD18" s="171"/>
      <c r="BE18" s="171"/>
      <c r="BF18" s="52"/>
      <c r="BG18" s="138"/>
      <c r="BH18" s="138"/>
      <c r="BI18" s="138"/>
      <c r="BJ18" s="138"/>
      <c r="BK18" s="138"/>
      <c r="BL18" s="138"/>
      <c r="BM18" s="138"/>
      <c r="BN18" s="138"/>
      <c r="BO18" s="138"/>
    </row>
    <row r="19" spans="1:67" ht="80.25" customHeight="1" x14ac:dyDescent="0.25">
      <c r="A19" s="15">
        <f t="shared" si="2"/>
        <v>46005</v>
      </c>
      <c r="B19" s="15">
        <f t="shared" si="1"/>
        <v>46009</v>
      </c>
      <c r="D19" s="24">
        <f t="shared" si="0"/>
        <v>46005</v>
      </c>
      <c r="E19" s="17"/>
      <c r="F19" s="172" t="s">
        <v>210</v>
      </c>
      <c r="G19" s="172"/>
      <c r="H19" s="172"/>
      <c r="I19" s="17"/>
      <c r="J19" s="17"/>
      <c r="K19" s="172" t="s">
        <v>210</v>
      </c>
      <c r="L19" s="172"/>
      <c r="M19" s="172"/>
      <c r="N19" s="17"/>
      <c r="O19" s="19">
        <f t="shared" si="3"/>
        <v>46006</v>
      </c>
      <c r="P19" s="136"/>
      <c r="Q19" s="177" t="s">
        <v>216</v>
      </c>
      <c r="R19" s="177"/>
      <c r="S19" s="136"/>
      <c r="T19" s="136"/>
      <c r="U19" s="136"/>
      <c r="V19" s="189" t="s">
        <v>212</v>
      </c>
      <c r="W19" s="189"/>
      <c r="X19" s="136"/>
      <c r="Y19" s="136"/>
      <c r="Z19" s="19">
        <f t="shared" si="4"/>
        <v>46007</v>
      </c>
      <c r="AA19" s="189" t="s">
        <v>213</v>
      </c>
      <c r="AB19" s="189"/>
      <c r="AC19" s="189" t="s">
        <v>214</v>
      </c>
      <c r="AD19" s="189"/>
      <c r="AE19" s="136"/>
      <c r="AG19" s="169" t="s">
        <v>86</v>
      </c>
      <c r="AH19" s="190"/>
      <c r="AI19" s="190"/>
      <c r="AJ19" s="54"/>
      <c r="AK19" s="19">
        <f t="shared" si="5"/>
        <v>46008</v>
      </c>
      <c r="AL19" s="130" t="s">
        <v>167</v>
      </c>
      <c r="AM19" s="161" t="s">
        <v>234</v>
      </c>
      <c r="AN19" s="162"/>
      <c r="AO19" s="162"/>
      <c r="AR19" s="161" t="s">
        <v>235</v>
      </c>
      <c r="AS19" s="162"/>
      <c r="AT19" s="162"/>
      <c r="AU19" s="130" t="s">
        <v>167</v>
      </c>
      <c r="AV19" s="19">
        <f t="shared" si="6"/>
        <v>46009</v>
      </c>
      <c r="AW19" s="130" t="s">
        <v>167</v>
      </c>
      <c r="AX19" s="178" t="s">
        <v>221</v>
      </c>
      <c r="AY19" s="179"/>
      <c r="AZ19" s="179"/>
      <c r="BA19" s="179"/>
      <c r="BB19" s="17"/>
      <c r="BF19" s="52"/>
      <c r="BG19" s="58" t="s">
        <v>111</v>
      </c>
      <c r="BH19" s="130" t="s">
        <v>220</v>
      </c>
    </row>
    <row r="20" spans="1:67" ht="29.25" customHeight="1" x14ac:dyDescent="0.25">
      <c r="A20" s="15">
        <f t="shared" si="2"/>
        <v>46012</v>
      </c>
      <c r="B20" s="15">
        <f t="shared" si="1"/>
        <v>46016</v>
      </c>
      <c r="D20" s="24">
        <f t="shared" si="0"/>
        <v>46012</v>
      </c>
      <c r="E20" s="176" t="s">
        <v>44</v>
      </c>
      <c r="F20" s="176"/>
      <c r="G20" s="176"/>
      <c r="H20" s="176"/>
      <c r="I20" s="176"/>
      <c r="J20" s="176" t="s">
        <v>44</v>
      </c>
      <c r="K20" s="176"/>
      <c r="L20" s="176"/>
      <c r="M20" s="176"/>
      <c r="N20" s="176"/>
      <c r="O20" s="19">
        <f t="shared" si="3"/>
        <v>46013</v>
      </c>
      <c r="P20" s="176" t="s">
        <v>44</v>
      </c>
      <c r="Q20" s="176"/>
      <c r="R20" s="176"/>
      <c r="S20" s="176"/>
      <c r="T20" s="176"/>
      <c r="U20" s="176" t="s">
        <v>44</v>
      </c>
      <c r="V20" s="176"/>
      <c r="W20" s="176"/>
      <c r="X20" s="176"/>
      <c r="Y20" s="176"/>
      <c r="Z20" s="19">
        <f t="shared" si="4"/>
        <v>46014</v>
      </c>
      <c r="AA20" s="176" t="s">
        <v>44</v>
      </c>
      <c r="AB20" s="176"/>
      <c r="AC20" s="176"/>
      <c r="AD20" s="176"/>
      <c r="AE20" s="176"/>
      <c r="AF20" s="176" t="s">
        <v>44</v>
      </c>
      <c r="AG20" s="176"/>
      <c r="AH20" s="176"/>
      <c r="AI20" s="176"/>
      <c r="AJ20" s="176"/>
      <c r="AK20" s="19">
        <f t="shared" si="5"/>
        <v>46015</v>
      </c>
      <c r="AL20" s="176" t="s">
        <v>44</v>
      </c>
      <c r="AM20" s="176"/>
      <c r="AN20" s="176"/>
      <c r="AO20" s="176"/>
      <c r="AP20" s="176"/>
      <c r="AQ20" s="176" t="s">
        <v>44</v>
      </c>
      <c r="AR20" s="176"/>
      <c r="AS20" s="176"/>
      <c r="AT20" s="176"/>
      <c r="AU20" s="176"/>
      <c r="AV20" s="19">
        <f t="shared" si="6"/>
        <v>46016</v>
      </c>
      <c r="AW20" s="176" t="s">
        <v>44</v>
      </c>
      <c r="AX20" s="176"/>
      <c r="AY20" s="176"/>
      <c r="AZ20" s="176"/>
      <c r="BA20" s="176"/>
      <c r="BB20" s="176"/>
      <c r="BC20" s="176"/>
      <c r="BD20" s="176"/>
      <c r="BE20" s="176"/>
      <c r="BF20" s="52"/>
      <c r="BI20" s="138"/>
      <c r="BJ20" s="138"/>
      <c r="BK20" s="138"/>
      <c r="BL20" s="138"/>
    </row>
    <row r="21" spans="1:67" ht="32.25" customHeight="1" x14ac:dyDescent="0.25">
      <c r="A21" s="15">
        <f t="shared" si="2"/>
        <v>46019</v>
      </c>
      <c r="B21" s="15">
        <f t="shared" si="1"/>
        <v>46023</v>
      </c>
      <c r="D21" s="24">
        <f t="shared" si="0"/>
        <v>46019</v>
      </c>
      <c r="E21" s="176" t="s">
        <v>44</v>
      </c>
      <c r="F21" s="176"/>
      <c r="G21" s="176"/>
      <c r="H21" s="176"/>
      <c r="I21" s="176"/>
      <c r="J21" s="176" t="s">
        <v>44</v>
      </c>
      <c r="K21" s="176"/>
      <c r="L21" s="176"/>
      <c r="M21" s="176"/>
      <c r="N21" s="176"/>
      <c r="O21" s="19">
        <f t="shared" si="3"/>
        <v>46020</v>
      </c>
      <c r="P21" s="176" t="s">
        <v>44</v>
      </c>
      <c r="Q21" s="176"/>
      <c r="R21" s="176"/>
      <c r="S21" s="176"/>
      <c r="T21" s="176"/>
      <c r="U21" s="176" t="s">
        <v>44</v>
      </c>
      <c r="V21" s="176"/>
      <c r="W21" s="176"/>
      <c r="X21" s="176"/>
      <c r="Y21" s="176"/>
      <c r="Z21" s="19">
        <f t="shared" si="4"/>
        <v>46021</v>
      </c>
      <c r="AA21" s="176" t="s">
        <v>44</v>
      </c>
      <c r="AB21" s="176"/>
      <c r="AC21" s="176"/>
      <c r="AD21" s="176"/>
      <c r="AE21" s="176"/>
      <c r="AF21" s="176" t="s">
        <v>44</v>
      </c>
      <c r="AG21" s="176"/>
      <c r="AH21" s="176"/>
      <c r="AI21" s="176"/>
      <c r="AJ21" s="176"/>
      <c r="AK21" s="19">
        <f t="shared" si="5"/>
        <v>46022</v>
      </c>
      <c r="AL21" s="176" t="s">
        <v>44</v>
      </c>
      <c r="AM21" s="176"/>
      <c r="AN21" s="176"/>
      <c r="AO21" s="176"/>
      <c r="AP21" s="176"/>
      <c r="AQ21" s="176" t="s">
        <v>44</v>
      </c>
      <c r="AR21" s="176"/>
      <c r="AS21" s="176"/>
      <c r="AT21" s="176"/>
      <c r="AU21" s="176"/>
      <c r="AV21" s="19">
        <f t="shared" si="6"/>
        <v>46023</v>
      </c>
      <c r="AW21" s="176" t="s">
        <v>44</v>
      </c>
      <c r="AX21" s="176"/>
      <c r="AY21" s="176"/>
      <c r="AZ21" s="176"/>
      <c r="BA21" s="176"/>
      <c r="BB21" s="176"/>
      <c r="BC21" s="176"/>
      <c r="BD21" s="176"/>
      <c r="BE21" s="176"/>
      <c r="BF21" s="52"/>
      <c r="BI21" s="138"/>
      <c r="BJ21" s="138"/>
      <c r="BK21" s="138"/>
      <c r="BL21" s="138"/>
    </row>
    <row r="22" spans="1:67" ht="75.75" customHeight="1" x14ac:dyDescent="0.25">
      <c r="A22" s="15">
        <f t="shared" si="2"/>
        <v>46026</v>
      </c>
      <c r="B22" s="15">
        <f t="shared" si="1"/>
        <v>46030</v>
      </c>
      <c r="C22" s="26" t="s">
        <v>39</v>
      </c>
      <c r="D22" s="24">
        <f t="shared" si="0"/>
        <v>46026</v>
      </c>
      <c r="E22" s="17"/>
      <c r="F22" s="184" t="s">
        <v>131</v>
      </c>
      <c r="G22" s="184"/>
      <c r="H22" s="184"/>
      <c r="I22" s="184"/>
      <c r="J22" s="184"/>
      <c r="K22" s="184"/>
      <c r="L22" s="184"/>
      <c r="M22" s="184"/>
      <c r="N22" s="17" t="s">
        <v>162</v>
      </c>
      <c r="O22" s="19">
        <f t="shared" si="3"/>
        <v>46027</v>
      </c>
      <c r="Q22" s="184" t="s">
        <v>131</v>
      </c>
      <c r="R22" s="184"/>
      <c r="S22" s="184"/>
      <c r="T22" s="184"/>
      <c r="U22" s="184"/>
      <c r="V22" s="17" t="s">
        <v>162</v>
      </c>
      <c r="W22" s="172" t="s">
        <v>210</v>
      </c>
      <c r="X22" s="172"/>
      <c r="Y22" s="172"/>
      <c r="Z22" s="19">
        <f t="shared" si="4"/>
        <v>46028</v>
      </c>
      <c r="AA22" s="84"/>
      <c r="AB22" s="172" t="s">
        <v>210</v>
      </c>
      <c r="AC22" s="172"/>
      <c r="AD22" s="172"/>
      <c r="AE22" s="84"/>
      <c r="AF22" s="84"/>
      <c r="AG22" s="172" t="s">
        <v>210</v>
      </c>
      <c r="AH22" s="172"/>
      <c r="AI22" s="172"/>
      <c r="AJ22" s="84"/>
      <c r="AK22" s="19">
        <f t="shared" si="5"/>
        <v>46029</v>
      </c>
      <c r="AL22" s="84"/>
      <c r="AM22" s="158" t="s">
        <v>203</v>
      </c>
      <c r="AN22" s="158"/>
      <c r="AO22" s="158"/>
      <c r="AP22" s="26"/>
      <c r="AQ22" s="26"/>
      <c r="AR22" s="158" t="s">
        <v>204</v>
      </c>
      <c r="AS22" s="158"/>
      <c r="AT22" s="84"/>
      <c r="AU22" s="84"/>
      <c r="AV22" s="19">
        <f t="shared" si="6"/>
        <v>46030</v>
      </c>
      <c r="AW22" s="191" t="s">
        <v>138</v>
      </c>
      <c r="AX22" s="191"/>
      <c r="AY22" s="191"/>
      <c r="AZ22" s="191"/>
      <c r="BA22" s="191"/>
      <c r="BB22" s="191"/>
      <c r="BC22" s="191"/>
      <c r="BD22" s="191"/>
      <c r="BE22" s="191"/>
      <c r="BF22" s="123" t="s">
        <v>39</v>
      </c>
      <c r="BI22" s="138"/>
      <c r="BJ22" s="138"/>
      <c r="BK22" s="138"/>
      <c r="BL22" s="138"/>
    </row>
    <row r="23" spans="1:67" ht="107.25" customHeight="1" x14ac:dyDescent="0.25">
      <c r="A23" s="15">
        <f t="shared" si="2"/>
        <v>46033</v>
      </c>
      <c r="B23" s="15">
        <f t="shared" si="1"/>
        <v>46037</v>
      </c>
      <c r="C23" s="28"/>
      <c r="D23" s="24">
        <f t="shared" si="0"/>
        <v>46033</v>
      </c>
      <c r="E23" s="17"/>
      <c r="F23" s="191" t="s">
        <v>138</v>
      </c>
      <c r="G23" s="191"/>
      <c r="H23" s="191"/>
      <c r="I23" s="191"/>
      <c r="J23" s="191"/>
      <c r="K23" s="191"/>
      <c r="L23" s="191"/>
      <c r="M23" s="191"/>
      <c r="N23" s="191"/>
      <c r="O23" s="19">
        <f t="shared" si="3"/>
        <v>46034</v>
      </c>
      <c r="P23" s="17"/>
      <c r="Q23" s="191" t="s">
        <v>138</v>
      </c>
      <c r="R23" s="191"/>
      <c r="S23" s="191"/>
      <c r="T23" s="191"/>
      <c r="U23" s="191"/>
      <c r="V23" s="191"/>
      <c r="W23" s="191"/>
      <c r="X23" s="191"/>
      <c r="Y23" s="191"/>
      <c r="Z23" s="19">
        <f t="shared" si="4"/>
        <v>46035</v>
      </c>
      <c r="AA23" s="85" t="s">
        <v>162</v>
      </c>
      <c r="AB23" s="164" t="s">
        <v>107</v>
      </c>
      <c r="AC23" s="165"/>
      <c r="AD23" s="165"/>
      <c r="AE23" s="53"/>
      <c r="AF23" s="53"/>
      <c r="AG23" s="164" t="s">
        <v>108</v>
      </c>
      <c r="AH23" s="165"/>
      <c r="AI23" s="165"/>
      <c r="AJ23" s="85" t="s">
        <v>162</v>
      </c>
      <c r="AK23" s="19">
        <f t="shared" si="5"/>
        <v>46036</v>
      </c>
      <c r="AL23" s="85" t="s">
        <v>26</v>
      </c>
      <c r="AM23" s="168" t="s">
        <v>173</v>
      </c>
      <c r="AN23" s="168"/>
      <c r="AO23" s="168"/>
      <c r="AP23" s="168"/>
      <c r="AQ23" s="85"/>
      <c r="AR23" s="169" t="s">
        <v>197</v>
      </c>
      <c r="AS23" s="169"/>
      <c r="AT23" s="85" t="s">
        <v>26</v>
      </c>
      <c r="AU23" s="85"/>
      <c r="AV23" s="19">
        <f t="shared" si="6"/>
        <v>46037</v>
      </c>
      <c r="AW23" s="191" t="s">
        <v>138</v>
      </c>
      <c r="AX23" s="191"/>
      <c r="AY23" s="191"/>
      <c r="AZ23" s="191"/>
      <c r="BA23" s="191"/>
      <c r="BB23" s="191"/>
      <c r="BC23" s="191"/>
      <c r="BD23" s="191"/>
      <c r="BE23" s="191"/>
      <c r="BF23" s="52"/>
      <c r="BI23" s="138"/>
      <c r="BJ23" s="138"/>
      <c r="BK23" s="138"/>
      <c r="BL23" s="138"/>
    </row>
    <row r="24" spans="1:67" ht="101.25" customHeight="1" x14ac:dyDescent="0.25">
      <c r="A24" s="15">
        <f t="shared" si="2"/>
        <v>46040</v>
      </c>
      <c r="B24" s="15">
        <f t="shared" si="1"/>
        <v>46044</v>
      </c>
      <c r="D24" s="24">
        <f t="shared" si="0"/>
        <v>46040</v>
      </c>
      <c r="E24" s="17"/>
      <c r="F24" s="191" t="s">
        <v>138</v>
      </c>
      <c r="G24" s="191"/>
      <c r="H24" s="191"/>
      <c r="I24" s="191"/>
      <c r="J24" s="191"/>
      <c r="K24" s="191"/>
      <c r="L24" s="191"/>
      <c r="M24" s="191"/>
      <c r="N24" s="191"/>
      <c r="O24" s="19">
        <f t="shared" si="3"/>
        <v>46041</v>
      </c>
      <c r="P24" s="17"/>
      <c r="Q24" s="191" t="s">
        <v>138</v>
      </c>
      <c r="R24" s="191"/>
      <c r="S24" s="191"/>
      <c r="T24" s="191"/>
      <c r="U24" s="191"/>
      <c r="V24" s="191"/>
      <c r="W24" s="191"/>
      <c r="X24" s="191"/>
      <c r="Y24" s="191"/>
      <c r="Z24" s="19">
        <f t="shared" si="4"/>
        <v>46042</v>
      </c>
      <c r="AA24" s="85"/>
      <c r="AB24" s="85"/>
      <c r="AC24" s="85"/>
      <c r="AD24" s="85"/>
      <c r="AE24" s="85"/>
      <c r="AF24" s="196" t="s">
        <v>158</v>
      </c>
      <c r="AG24" s="196"/>
      <c r="AH24" s="196"/>
      <c r="AI24" s="196"/>
      <c r="AJ24" s="196"/>
      <c r="AK24" s="19">
        <f t="shared" si="5"/>
        <v>46043</v>
      </c>
      <c r="AL24" s="86"/>
      <c r="AM24" s="197" t="s">
        <v>171</v>
      </c>
      <c r="AN24" s="197"/>
      <c r="AO24" s="197"/>
      <c r="AP24" s="197"/>
      <c r="AQ24" s="197"/>
      <c r="AR24" s="128" t="s">
        <v>183</v>
      </c>
      <c r="AS24" s="197" t="s">
        <v>170</v>
      </c>
      <c r="AT24" s="197"/>
      <c r="AU24" s="197"/>
      <c r="AV24" s="19">
        <f t="shared" si="6"/>
        <v>46044</v>
      </c>
      <c r="AW24" s="191" t="s">
        <v>138</v>
      </c>
      <c r="AX24" s="191"/>
      <c r="AY24" s="191"/>
      <c r="AZ24" s="191"/>
      <c r="BA24" s="191"/>
      <c r="BB24" s="191"/>
      <c r="BC24" s="191"/>
      <c r="BD24" s="191"/>
      <c r="BE24" s="191"/>
      <c r="BF24" s="52"/>
      <c r="BH24"/>
    </row>
    <row r="25" spans="1:67" ht="106.5" customHeight="1" x14ac:dyDescent="0.25">
      <c r="A25" s="15">
        <f t="shared" si="2"/>
        <v>46047</v>
      </c>
      <c r="B25" s="15">
        <f t="shared" si="1"/>
        <v>46051</v>
      </c>
      <c r="D25" s="24">
        <f t="shared" si="0"/>
        <v>46047</v>
      </c>
      <c r="E25" s="192" t="s">
        <v>138</v>
      </c>
      <c r="F25" s="192"/>
      <c r="G25" s="192"/>
      <c r="H25" s="192"/>
      <c r="I25" s="192"/>
      <c r="J25" s="192"/>
      <c r="K25" s="192"/>
      <c r="L25" s="192"/>
      <c r="M25" s="192"/>
      <c r="N25" s="192"/>
      <c r="O25" s="19">
        <f t="shared" si="3"/>
        <v>46048</v>
      </c>
      <c r="P25" s="192" t="s">
        <v>138</v>
      </c>
      <c r="Q25" s="192"/>
      <c r="R25" s="192"/>
      <c r="S25" s="192"/>
      <c r="T25" s="192"/>
      <c r="U25" s="192"/>
      <c r="V25" s="192"/>
      <c r="W25" s="192"/>
      <c r="X25" s="192"/>
      <c r="Y25" s="192"/>
      <c r="Z25" s="19">
        <f t="shared" si="4"/>
        <v>46049</v>
      </c>
      <c r="AA25" s="193" t="s">
        <v>218</v>
      </c>
      <c r="AB25" s="193"/>
      <c r="AC25" s="193"/>
      <c r="AD25" s="193"/>
      <c r="AE25" s="193"/>
      <c r="AF25" s="194" t="s">
        <v>228</v>
      </c>
      <c r="AG25" s="194"/>
      <c r="AH25" s="194"/>
      <c r="AI25" s="194"/>
      <c r="AJ25" s="194"/>
      <c r="AK25" s="19">
        <f>AK24+7</f>
        <v>46050</v>
      </c>
      <c r="AL25" s="195" t="s">
        <v>229</v>
      </c>
      <c r="AM25" s="195"/>
      <c r="AN25" s="195"/>
      <c r="AO25" s="195" t="s">
        <v>14</v>
      </c>
      <c r="AP25" s="195"/>
      <c r="AQ25" s="195" t="s">
        <v>231</v>
      </c>
      <c r="AR25" s="195"/>
      <c r="AS25" s="195"/>
      <c r="AT25" s="195"/>
      <c r="AU25" s="195"/>
      <c r="AV25" s="19">
        <f t="shared" si="6"/>
        <v>46051</v>
      </c>
      <c r="AW25" s="121"/>
      <c r="AX25" s="204" t="s">
        <v>88</v>
      </c>
      <c r="AY25" s="204"/>
      <c r="AZ25" s="204"/>
      <c r="BA25" s="204"/>
      <c r="BB25" s="121"/>
      <c r="BC25" s="121"/>
      <c r="BD25" s="121"/>
      <c r="BE25" s="121"/>
      <c r="BF25" s="52"/>
      <c r="BH25" s="61"/>
    </row>
    <row r="26" spans="1:67" ht="78.75" customHeight="1" x14ac:dyDescent="0.25">
      <c r="A26" s="15">
        <f t="shared" si="2"/>
        <v>46054</v>
      </c>
      <c r="B26" s="15">
        <f t="shared" si="1"/>
        <v>46058</v>
      </c>
      <c r="C26" s="23"/>
      <c r="D26" s="24">
        <f>A26</f>
        <v>46054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9">
        <f t="shared" si="3"/>
        <v>46055</v>
      </c>
      <c r="Z26" s="19">
        <f t="shared" si="4"/>
        <v>46056</v>
      </c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19">
        <f t="shared" si="5"/>
        <v>46057</v>
      </c>
      <c r="AL26" s="205"/>
      <c r="AM26" s="205"/>
      <c r="AN26" s="205"/>
      <c r="AO26" s="205"/>
      <c r="AP26" s="205"/>
      <c r="AQ26" s="205"/>
      <c r="AR26" s="205"/>
      <c r="AS26" s="205"/>
      <c r="AT26" s="205"/>
      <c r="AU26" s="205"/>
      <c r="AV26" s="19">
        <f t="shared" si="6"/>
        <v>46058</v>
      </c>
      <c r="AW26" s="191"/>
      <c r="AX26" s="191"/>
      <c r="AY26" s="191"/>
      <c r="AZ26" s="191"/>
      <c r="BA26" s="191"/>
      <c r="BB26" s="191"/>
      <c r="BC26" s="191"/>
      <c r="BD26" s="191"/>
      <c r="BE26" s="191"/>
      <c r="BF26" s="124"/>
      <c r="BH26" s="174" t="s">
        <v>140</v>
      </c>
      <c r="BI26" s="174"/>
      <c r="BJ26" s="174"/>
    </row>
    <row r="27" spans="1:67" ht="106.9" customHeight="1" thickBot="1" x14ac:dyDescent="0.3">
      <c r="A27" s="15">
        <f>B26+3</f>
        <v>46061</v>
      </c>
      <c r="B27" s="15">
        <f t="shared" si="1"/>
        <v>46065</v>
      </c>
      <c r="C27" s="26" t="s">
        <v>39</v>
      </c>
      <c r="D27" s="30">
        <f t="shared" si="0"/>
        <v>46061</v>
      </c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56">
        <f>O26+7</f>
        <v>46062</v>
      </c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56">
        <f>Z26+7</f>
        <v>46063</v>
      </c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56">
        <f>AK26+7</f>
        <v>46064</v>
      </c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56">
        <f>AV26+7</f>
        <v>46065</v>
      </c>
      <c r="AW27" s="200"/>
      <c r="AX27" s="200"/>
      <c r="AY27" s="200"/>
      <c r="AZ27" s="200"/>
      <c r="BA27" s="200"/>
      <c r="BB27" s="200"/>
      <c r="BC27" s="200"/>
      <c r="BD27" s="200"/>
      <c r="BE27" s="122"/>
      <c r="BF27" s="125"/>
    </row>
    <row r="28" spans="1:67" x14ac:dyDescent="0.25">
      <c r="A28" s="33"/>
      <c r="B28" s="33"/>
      <c r="C28" s="127"/>
      <c r="D28" s="34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34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34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34"/>
      <c r="AL28" s="127"/>
      <c r="AM28" s="127"/>
      <c r="AN28" s="127"/>
      <c r="AO28" s="127"/>
      <c r="AP28" s="127"/>
      <c r="AQ28" s="127"/>
      <c r="AR28" s="127"/>
      <c r="AS28" s="127"/>
      <c r="AT28" s="127"/>
      <c r="AU28" s="127"/>
      <c r="AV28" s="34"/>
      <c r="AW28" s="127"/>
      <c r="BF28" s="23"/>
    </row>
    <row r="29" spans="1:67" x14ac:dyDescent="0.25">
      <c r="A29" s="127"/>
      <c r="B29" s="127"/>
      <c r="C29" s="127"/>
      <c r="D29" s="4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201" t="s">
        <v>87</v>
      </c>
      <c r="AG29" s="201"/>
      <c r="AH29" s="201"/>
      <c r="AI29" s="201"/>
      <c r="AJ29" s="201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7"/>
    </row>
    <row r="30" spans="1:67" x14ac:dyDescent="0.25">
      <c r="AL30" s="35"/>
      <c r="AM30" s="35"/>
      <c r="AN30" s="35"/>
      <c r="AO30" s="36" t="s">
        <v>230</v>
      </c>
    </row>
    <row r="31" spans="1:67" x14ac:dyDescent="0.25">
      <c r="U31" s="37"/>
      <c r="V31" s="37"/>
      <c r="W31" s="38"/>
      <c r="X31" s="39" t="s">
        <v>230</v>
      </c>
      <c r="Y31" s="17"/>
      <c r="AL31" s="40"/>
      <c r="AM31" s="40"/>
      <c r="AN31" s="40"/>
      <c r="AO31" s="41" t="s">
        <v>6</v>
      </c>
      <c r="BE31" s="17"/>
      <c r="BF31" s="17"/>
      <c r="BG31" s="17"/>
      <c r="BH31" s="17"/>
      <c r="BI31" s="17"/>
    </row>
    <row r="32" spans="1:67" ht="16.5" thickBot="1" x14ac:dyDescent="0.3">
      <c r="M32" s="42"/>
      <c r="N32" s="29"/>
      <c r="O32" s="130" t="s">
        <v>10</v>
      </c>
      <c r="Q32" s="130" t="s">
        <v>42</v>
      </c>
      <c r="U32" s="40"/>
      <c r="V32" s="40"/>
      <c r="W32" s="43"/>
      <c r="X32" s="39" t="s">
        <v>6</v>
      </c>
      <c r="Y32" s="17"/>
      <c r="AA32" s="202" t="s">
        <v>56</v>
      </c>
      <c r="AB32" s="202"/>
      <c r="AC32" s="202"/>
      <c r="AD32" s="202" t="s">
        <v>14</v>
      </c>
      <c r="AE32" s="202"/>
      <c r="AF32" s="202" t="s">
        <v>102</v>
      </c>
      <c r="AG32" s="202"/>
      <c r="AH32" s="202"/>
      <c r="AI32" s="202"/>
      <c r="AJ32" s="202"/>
      <c r="AL32" s="44"/>
      <c r="AM32" s="44"/>
      <c r="AN32" s="44"/>
      <c r="AO32" s="41" t="s">
        <v>7</v>
      </c>
    </row>
    <row r="33" spans="4:50" x14ac:dyDescent="0.25">
      <c r="M33" s="45"/>
      <c r="N33" s="45"/>
      <c r="O33" s="130" t="s">
        <v>15</v>
      </c>
      <c r="U33" s="44"/>
      <c r="V33" s="44"/>
      <c r="W33" s="44"/>
      <c r="X33" s="39" t="s">
        <v>7</v>
      </c>
      <c r="Y33" s="17"/>
      <c r="AL33" s="142"/>
      <c r="AM33" s="142"/>
      <c r="AN33" s="142"/>
      <c r="AO33" s="41" t="s">
        <v>8</v>
      </c>
    </row>
    <row r="34" spans="4:50" x14ac:dyDescent="0.25">
      <c r="U34" s="142"/>
      <c r="V34" s="142"/>
      <c r="W34" s="143"/>
      <c r="X34" s="39" t="s">
        <v>8</v>
      </c>
      <c r="Y34" s="17"/>
      <c r="AL34" s="141"/>
      <c r="AM34" s="141"/>
      <c r="AN34" s="141"/>
      <c r="AQ34" s="127"/>
      <c r="AR34" s="127"/>
      <c r="AS34" s="127"/>
      <c r="AT34" s="127"/>
      <c r="AU34" s="127"/>
      <c r="AV34" s="127"/>
      <c r="AW34" s="127"/>
      <c r="AX34" s="127"/>
    </row>
    <row r="35" spans="4:50" x14ac:dyDescent="0.25">
      <c r="D35" s="130"/>
      <c r="U35" s="141"/>
      <c r="V35" s="141"/>
      <c r="W35" s="141"/>
      <c r="X35" s="83"/>
      <c r="Y35" s="17"/>
      <c r="AF35" s="23"/>
      <c r="AG35" s="23"/>
      <c r="AH35" s="23"/>
      <c r="AL35" s="141"/>
      <c r="AM35" s="141"/>
      <c r="AN35" s="141"/>
      <c r="AO35" s="23"/>
      <c r="AQ35" s="127"/>
      <c r="AR35" s="127"/>
      <c r="AS35" s="127"/>
      <c r="AT35" s="203"/>
      <c r="AU35" s="203"/>
      <c r="AV35" s="203"/>
      <c r="AW35" s="127"/>
      <c r="AX35" s="127"/>
    </row>
    <row r="36" spans="4:50" x14ac:dyDescent="0.25">
      <c r="D36" s="130"/>
      <c r="U36" s="23"/>
      <c r="V36" s="23"/>
      <c r="W36" s="23"/>
      <c r="X36" s="23"/>
    </row>
    <row r="37" spans="4:50" ht="89.45" customHeight="1" thickBot="1" x14ac:dyDescent="0.3">
      <c r="D37" s="130"/>
      <c r="U37" s="23"/>
      <c r="V37" s="23"/>
      <c r="W37" s="23"/>
      <c r="X37" s="23"/>
      <c r="AA37" s="198" t="s">
        <v>78</v>
      </c>
      <c r="AB37" s="198"/>
      <c r="AC37" s="198"/>
      <c r="AD37" s="198"/>
      <c r="AE37" s="198"/>
      <c r="AF37" s="198"/>
      <c r="AG37" s="198"/>
      <c r="AH37" s="198"/>
      <c r="AI37" s="198"/>
      <c r="AJ37" s="198"/>
      <c r="AL37" s="199" t="s">
        <v>57</v>
      </c>
      <c r="AM37" s="199"/>
      <c r="AN37" s="199"/>
      <c r="AO37" s="199"/>
      <c r="AP37" s="199"/>
      <c r="AR37" s="199" t="s">
        <v>103</v>
      </c>
      <c r="AS37" s="199"/>
      <c r="AT37" s="199"/>
      <c r="AU37" s="199"/>
      <c r="AV37" s="199"/>
      <c r="AW37" s="127"/>
      <c r="AX37" s="127"/>
    </row>
    <row r="38" spans="4:50" ht="14.45" customHeight="1" x14ac:dyDescent="0.25">
      <c r="D38" s="130"/>
      <c r="AU38" s="127"/>
      <c r="AV38" s="127"/>
      <c r="AW38" s="127"/>
      <c r="AX38" s="127"/>
    </row>
    <row r="39" spans="4:50" ht="76.150000000000006" customHeight="1" x14ac:dyDescent="0.25">
      <c r="D39" s="130"/>
      <c r="AV39" s="127"/>
      <c r="AW39" s="127"/>
      <c r="AX39" s="127"/>
    </row>
    <row r="40" spans="4:50" ht="14.45" customHeight="1" x14ac:dyDescent="0.25">
      <c r="D40" s="130"/>
      <c r="AC40" s="130" t="s">
        <v>42</v>
      </c>
      <c r="AX40" s="127"/>
    </row>
    <row r="41" spans="4:50" x14ac:dyDescent="0.25">
      <c r="D41" s="130"/>
      <c r="AQ41" s="127"/>
      <c r="AV41" s="127"/>
      <c r="AW41" s="127"/>
      <c r="AX41" s="127"/>
    </row>
    <row r="42" spans="4:50" x14ac:dyDescent="0.25">
      <c r="D42" s="130"/>
      <c r="AQ42" s="127"/>
    </row>
    <row r="43" spans="4:50" x14ac:dyDescent="0.25">
      <c r="D43" s="130"/>
      <c r="AQ43" s="127"/>
      <c r="AR43" s="127"/>
      <c r="AS43" s="127"/>
      <c r="AX43" s="127"/>
    </row>
    <row r="44" spans="4:50" x14ac:dyDescent="0.25">
      <c r="AX44" s="127"/>
    </row>
    <row r="45" spans="4:50" x14ac:dyDescent="0.25">
      <c r="AX45" s="127"/>
    </row>
    <row r="46" spans="4:50" x14ac:dyDescent="0.25">
      <c r="T46" s="51"/>
    </row>
    <row r="48" spans="4:50" x14ac:dyDescent="0.25">
      <c r="AP48" s="50"/>
      <c r="AQ48" s="50"/>
      <c r="AR48" s="50"/>
      <c r="AS48" s="50"/>
    </row>
  </sheetData>
  <mergeCells count="225">
    <mergeCell ref="AA37:AJ37"/>
    <mergeCell ref="AL37:AP37"/>
    <mergeCell ref="AR37:AV37"/>
    <mergeCell ref="AB11:AD11"/>
    <mergeCell ref="AA10:AD10"/>
    <mergeCell ref="AW27:BA27"/>
    <mergeCell ref="BB27:BD27"/>
    <mergeCell ref="AF29:AJ29"/>
    <mergeCell ref="AA32:AE32"/>
    <mergeCell ref="AF32:AJ32"/>
    <mergeCell ref="AT35:AV35"/>
    <mergeCell ref="AX25:BA25"/>
    <mergeCell ref="AA26:AE26"/>
    <mergeCell ref="AF26:AJ26"/>
    <mergeCell ref="AL26:AP26"/>
    <mergeCell ref="AQ26:AU26"/>
    <mergeCell ref="AW26:BE26"/>
    <mergeCell ref="AW24:BE24"/>
    <mergeCell ref="AQ21:AU21"/>
    <mergeCell ref="AW21:BE21"/>
    <mergeCell ref="AL20:AP20"/>
    <mergeCell ref="AQ20:AU20"/>
    <mergeCell ref="AW20:BE20"/>
    <mergeCell ref="AE17:AF17"/>
    <mergeCell ref="E25:N25"/>
    <mergeCell ref="P25:Y25"/>
    <mergeCell ref="AA25:AE25"/>
    <mergeCell ref="AF25:AJ25"/>
    <mergeCell ref="AL25:AP25"/>
    <mergeCell ref="AQ25:AU25"/>
    <mergeCell ref="F24:N24"/>
    <mergeCell ref="Q24:Y24"/>
    <mergeCell ref="AF24:AJ24"/>
    <mergeCell ref="AM24:AQ24"/>
    <mergeCell ref="AS24:AU24"/>
    <mergeCell ref="F23:N23"/>
    <mergeCell ref="Q23:Y23"/>
    <mergeCell ref="AB23:AD23"/>
    <mergeCell ref="AG23:AI23"/>
    <mergeCell ref="AM23:AP23"/>
    <mergeCell ref="AR23:AS23"/>
    <mergeCell ref="AW23:BE23"/>
    <mergeCell ref="F22:M22"/>
    <mergeCell ref="Q22:U22"/>
    <mergeCell ref="W22:Y22"/>
    <mergeCell ref="AB22:AD22"/>
    <mergeCell ref="AG22:AI22"/>
    <mergeCell ref="AM22:AO22"/>
    <mergeCell ref="AR22:AS22"/>
    <mergeCell ref="AW22:BE22"/>
    <mergeCell ref="E21:I21"/>
    <mergeCell ref="J21:N21"/>
    <mergeCell ref="P21:T21"/>
    <mergeCell ref="U21:Y21"/>
    <mergeCell ref="AA21:AE21"/>
    <mergeCell ref="AF21:AJ21"/>
    <mergeCell ref="AL21:AP21"/>
    <mergeCell ref="E20:I20"/>
    <mergeCell ref="J20:N20"/>
    <mergeCell ref="P20:T20"/>
    <mergeCell ref="U20:Y20"/>
    <mergeCell ref="AA20:AE20"/>
    <mergeCell ref="AF20:AJ20"/>
    <mergeCell ref="F18:H18"/>
    <mergeCell ref="K18:M18"/>
    <mergeCell ref="P18:S18"/>
    <mergeCell ref="V18:Y18"/>
    <mergeCell ref="AB18:AE18"/>
    <mergeCell ref="F19:H19"/>
    <mergeCell ref="K19:M19"/>
    <mergeCell ref="AG19:AI19"/>
    <mergeCell ref="AM19:AO19"/>
    <mergeCell ref="Q19:R19"/>
    <mergeCell ref="AX19:BA19"/>
    <mergeCell ref="AG18:AJ18"/>
    <mergeCell ref="AM18:AO18"/>
    <mergeCell ref="AQ18:AT18"/>
    <mergeCell ref="AX18:BA18"/>
    <mergeCell ref="BC18:BE18"/>
    <mergeCell ref="V19:W19"/>
    <mergeCell ref="AA19:AB19"/>
    <mergeCell ref="AC19:AD19"/>
    <mergeCell ref="K16:M16"/>
    <mergeCell ref="Q16:S16"/>
    <mergeCell ref="V16:X16"/>
    <mergeCell ref="AA16:AD16"/>
    <mergeCell ref="AG16:AI16"/>
    <mergeCell ref="AL16:AO16"/>
    <mergeCell ref="AQ16:AR16"/>
    <mergeCell ref="AS16:AT16"/>
    <mergeCell ref="AR19:AT19"/>
    <mergeCell ref="BH26:BJ26"/>
    <mergeCell ref="E15:H15"/>
    <mergeCell ref="K15:M15"/>
    <mergeCell ref="Q15:R15"/>
    <mergeCell ref="V15:X15"/>
    <mergeCell ref="AA15:AC15"/>
    <mergeCell ref="AG15:AH15"/>
    <mergeCell ref="AI15:AJ15"/>
    <mergeCell ref="AM15:AN15"/>
    <mergeCell ref="AP15:AT15"/>
    <mergeCell ref="AX15:BA15"/>
    <mergeCell ref="BC15:BE15"/>
    <mergeCell ref="AX16:BA16"/>
    <mergeCell ref="BC16:BE16"/>
    <mergeCell ref="F17:H17"/>
    <mergeCell ref="K17:M17"/>
    <mergeCell ref="Q17:R17"/>
    <mergeCell ref="V17:X17"/>
    <mergeCell ref="AB17:AC17"/>
    <mergeCell ref="AM17:AO17"/>
    <mergeCell ref="AR17:AS17"/>
    <mergeCell ref="AX17:BA17"/>
    <mergeCell ref="BC17:BE17"/>
    <mergeCell ref="F16:H16"/>
    <mergeCell ref="BC13:BE13"/>
    <mergeCell ref="F14:H14"/>
    <mergeCell ref="K14:M14"/>
    <mergeCell ref="Q14:R14"/>
    <mergeCell ref="V14:X14"/>
    <mergeCell ref="AA14:AJ14"/>
    <mergeCell ref="AM14:AN14"/>
    <mergeCell ref="AQ14:AU14"/>
    <mergeCell ref="AX14:BA14"/>
    <mergeCell ref="BC14:BE14"/>
    <mergeCell ref="F13:H13"/>
    <mergeCell ref="K13:N13"/>
    <mergeCell ref="Q13:S13"/>
    <mergeCell ref="V13:X13"/>
    <mergeCell ref="AA13:AC13"/>
    <mergeCell ref="AG13:AI13"/>
    <mergeCell ref="AM13:AO13"/>
    <mergeCell ref="AQ13:AS13"/>
    <mergeCell ref="AX13:BA13"/>
    <mergeCell ref="E12:I12"/>
    <mergeCell ref="J12:N12"/>
    <mergeCell ref="P12:T12"/>
    <mergeCell ref="U12:Y12"/>
    <mergeCell ref="AA12:AE12"/>
    <mergeCell ref="AF12:AJ12"/>
    <mergeCell ref="AL12:AP12"/>
    <mergeCell ref="AQ12:AU12"/>
    <mergeCell ref="AW12:BE12"/>
    <mergeCell ref="E11:H11"/>
    <mergeCell ref="K11:N11"/>
    <mergeCell ref="Q11:S11"/>
    <mergeCell ref="V11:W11"/>
    <mergeCell ref="AG11:AI11"/>
    <mergeCell ref="AM11:AO11"/>
    <mergeCell ref="AQ11:AS11"/>
    <mergeCell ref="AX11:BA11"/>
    <mergeCell ref="BC11:BE11"/>
    <mergeCell ref="BH8:BK8"/>
    <mergeCell ref="V8:X8"/>
    <mergeCell ref="BC9:BE9"/>
    <mergeCell ref="F10:H10"/>
    <mergeCell ref="K10:M10"/>
    <mergeCell ref="Q10:S10"/>
    <mergeCell ref="V10:X10"/>
    <mergeCell ref="AG10:AI10"/>
    <mergeCell ref="AM10:AO10"/>
    <mergeCell ref="AQ10:AS10"/>
    <mergeCell ref="AW10:BE10"/>
    <mergeCell ref="F9:H9"/>
    <mergeCell ref="K9:M9"/>
    <mergeCell ref="Q9:S9"/>
    <mergeCell ref="V9:X9"/>
    <mergeCell ref="AB9:AD9"/>
    <mergeCell ref="AG9:AI9"/>
    <mergeCell ref="AL9:AO9"/>
    <mergeCell ref="AR9:AT9"/>
    <mergeCell ref="AX9:BA9"/>
    <mergeCell ref="AM7:AO7"/>
    <mergeCell ref="AQ7:AS7"/>
    <mergeCell ref="AX7:AZ7"/>
    <mergeCell ref="BC7:BE7"/>
    <mergeCell ref="F8:H8"/>
    <mergeCell ref="K8:M8"/>
    <mergeCell ref="Q8:S8"/>
    <mergeCell ref="V7:X7"/>
    <mergeCell ref="AC8:AE8"/>
    <mergeCell ref="AG8:AI8"/>
    <mergeCell ref="F7:H7"/>
    <mergeCell ref="K7:M7"/>
    <mergeCell ref="Q7:S7"/>
    <mergeCell ref="AB7:AD7"/>
    <mergeCell ref="AF7:AH7"/>
    <mergeCell ref="AM8:AO8"/>
    <mergeCell ref="AQ8:AT8"/>
    <mergeCell ref="AX8:BA8"/>
    <mergeCell ref="BC8:BE8"/>
    <mergeCell ref="BL5:BN5"/>
    <mergeCell ref="F6:H6"/>
    <mergeCell ref="Q6:S6"/>
    <mergeCell ref="V6:X6"/>
    <mergeCell ref="AA6:AD6"/>
    <mergeCell ref="AX4:AZ4"/>
    <mergeCell ref="BH4:BK4"/>
    <mergeCell ref="E5:H5"/>
    <mergeCell ref="J5:N5"/>
    <mergeCell ref="V5:Y5"/>
    <mergeCell ref="AB5:AD5"/>
    <mergeCell ref="AG5:AJ5"/>
    <mergeCell ref="AM5:AO5"/>
    <mergeCell ref="AQ5:AR5"/>
    <mergeCell ref="AG6:AJ6"/>
    <mergeCell ref="AM6:AO6"/>
    <mergeCell ref="AQ6:AS6"/>
    <mergeCell ref="AX6:AZ6"/>
    <mergeCell ref="BB6:BC6"/>
    <mergeCell ref="BH6:BJ6"/>
    <mergeCell ref="AS5:AU5"/>
    <mergeCell ref="AW5:AX5"/>
    <mergeCell ref="AY5:AZ5"/>
    <mergeCell ref="BH5:BJ5"/>
    <mergeCell ref="D1:M1"/>
    <mergeCell ref="O1:X1"/>
    <mergeCell ref="Z1:AI1"/>
    <mergeCell ref="AK1:AT1"/>
    <mergeCell ref="AV1:BE1"/>
    <mergeCell ref="V4:X4"/>
    <mergeCell ref="AC4:AD4"/>
    <mergeCell ref="AG4:AI4"/>
    <mergeCell ref="AM4:AO4"/>
    <mergeCell ref="AR4:AT4"/>
  </mergeCells>
  <pageMargins left="0.25" right="0.25" top="0.75" bottom="0.75" header="0.3" footer="0.3"/>
  <pageSetup paperSize="8" scale="59" fitToWidth="0" orientation="portrait" r:id="rId1"/>
  <rowBreaks count="1" manualBreakCount="1">
    <brk id="16" min="3" max="55" man="1"/>
  </rowBreaks>
  <colBreaks count="2" manualBreakCount="2">
    <brk id="25" max="35" man="1"/>
    <brk id="47" max="3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2E65A-7617-42A2-9A11-4E48A73F8FB6}">
  <sheetPr>
    <pageSetUpPr fitToPage="1"/>
  </sheetPr>
  <dimension ref="A1:BN48"/>
  <sheetViews>
    <sheetView zoomScale="55" zoomScaleNormal="55" workbookViewId="0">
      <pane ySplit="2" topLeftCell="A20" activePane="bottomLeft" state="frozen"/>
      <selection pane="bottomLeft" activeCell="AL9" sqref="AL9:AO9"/>
    </sheetView>
  </sheetViews>
  <sheetFormatPr baseColWidth="10" defaultColWidth="11.5703125" defaultRowHeight="15" x14ac:dyDescent="0.25"/>
  <cols>
    <col min="1" max="1" width="8.85546875" style="113" customWidth="1"/>
    <col min="2" max="3" width="9" style="113" customWidth="1"/>
    <col min="4" max="4" width="11.7109375" style="5" customWidth="1"/>
    <col min="5" max="5" width="5.85546875" style="113" bestFit="1" customWidth="1"/>
    <col min="6" max="8" width="10.5703125" style="113" customWidth="1"/>
    <col min="9" max="10" width="8" style="113" bestFit="1" customWidth="1"/>
    <col min="11" max="14" width="10.5703125" style="113" customWidth="1"/>
    <col min="15" max="15" width="11" style="113" customWidth="1"/>
    <col min="16" max="16" width="5.85546875" style="113" bestFit="1" customWidth="1"/>
    <col min="17" max="19" width="10.5703125" style="113" customWidth="1"/>
    <col min="20" max="21" width="8" style="113" bestFit="1" customWidth="1"/>
    <col min="22" max="25" width="10.5703125" style="113" customWidth="1"/>
    <col min="26" max="26" width="11.7109375" style="113" customWidth="1"/>
    <col min="27" max="27" width="5.85546875" style="113" bestFit="1" customWidth="1"/>
    <col min="28" max="28" width="10.5703125" style="113" customWidth="1"/>
    <col min="29" max="29" width="11.140625" style="113" customWidth="1"/>
    <col min="30" max="30" width="10.5703125" style="113" customWidth="1"/>
    <col min="31" max="32" width="8" style="113" bestFit="1" customWidth="1"/>
    <col min="33" max="36" width="10.5703125" style="113" customWidth="1"/>
    <col min="37" max="37" width="12" style="113" customWidth="1"/>
    <col min="38" max="38" width="8.42578125" style="113" bestFit="1" customWidth="1"/>
    <col min="39" max="41" width="10.5703125" style="113" customWidth="1"/>
    <col min="42" max="42" width="10.28515625" style="113" bestFit="1" customWidth="1"/>
    <col min="43" max="47" width="10.5703125" style="113" customWidth="1"/>
    <col min="48" max="48" width="11.42578125" style="113" customWidth="1"/>
    <col min="49" max="49" width="5.85546875" style="113" bestFit="1" customWidth="1"/>
    <col min="50" max="52" width="10.5703125" style="113" customWidth="1"/>
    <col min="53" max="53" width="9" style="113" customWidth="1"/>
    <col min="54" max="54" width="8" style="113" customWidth="1"/>
    <col min="55" max="56" width="10.5703125" style="113" customWidth="1"/>
    <col min="57" max="57" width="14.28515625" style="113" customWidth="1"/>
    <col min="58" max="58" width="11.5703125" style="113" customWidth="1"/>
    <col min="59" max="16384" width="11.5703125" style="113"/>
  </cols>
  <sheetData>
    <row r="1" spans="1:66" ht="15.75" thickBot="1" x14ac:dyDescent="0.3">
      <c r="D1" s="153" t="s">
        <v>0</v>
      </c>
      <c r="E1" s="153"/>
      <c r="F1" s="153"/>
      <c r="G1" s="153"/>
      <c r="H1" s="153"/>
      <c r="I1" s="153"/>
      <c r="J1" s="153"/>
      <c r="K1" s="153"/>
      <c r="L1" s="153"/>
      <c r="M1" s="153"/>
      <c r="N1" s="114"/>
      <c r="O1" s="154" t="s">
        <v>1</v>
      </c>
      <c r="P1" s="154"/>
      <c r="Q1" s="154"/>
      <c r="R1" s="154"/>
      <c r="S1" s="154"/>
      <c r="T1" s="154"/>
      <c r="U1" s="154"/>
      <c r="V1" s="154"/>
      <c r="W1" s="154"/>
      <c r="X1" s="154"/>
      <c r="Y1" s="115"/>
      <c r="Z1" s="155" t="s">
        <v>2</v>
      </c>
      <c r="AA1" s="155"/>
      <c r="AB1" s="155"/>
      <c r="AC1" s="155"/>
      <c r="AD1" s="155"/>
      <c r="AE1" s="155"/>
      <c r="AF1" s="155"/>
      <c r="AG1" s="155"/>
      <c r="AH1" s="155"/>
      <c r="AI1" s="155"/>
      <c r="AJ1" s="116"/>
      <c r="AK1" s="156" t="s">
        <v>3</v>
      </c>
      <c r="AL1" s="156"/>
      <c r="AM1" s="156"/>
      <c r="AN1" s="156"/>
      <c r="AO1" s="156"/>
      <c r="AP1" s="156"/>
      <c r="AQ1" s="156"/>
      <c r="AR1" s="156"/>
      <c r="AS1" s="156"/>
      <c r="AT1" s="156"/>
      <c r="AU1" s="117"/>
      <c r="AV1" s="157" t="s">
        <v>4</v>
      </c>
      <c r="AW1" s="157"/>
      <c r="AX1" s="157"/>
      <c r="AY1" s="157"/>
      <c r="AZ1" s="157"/>
      <c r="BA1" s="157"/>
      <c r="BB1" s="157"/>
      <c r="BC1" s="157"/>
      <c r="BD1" s="157"/>
      <c r="BE1" s="157"/>
    </row>
    <row r="2" spans="1:66" ht="48.75" thickBot="1" x14ac:dyDescent="0.3">
      <c r="C2" s="7" t="s">
        <v>45</v>
      </c>
      <c r="D2" s="1" t="s">
        <v>5</v>
      </c>
      <c r="E2" s="8" t="s">
        <v>16</v>
      </c>
      <c r="F2" s="9" t="s">
        <v>17</v>
      </c>
      <c r="G2" s="9" t="s">
        <v>18</v>
      </c>
      <c r="H2" s="9" t="s">
        <v>19</v>
      </c>
      <c r="I2" s="9" t="s">
        <v>24</v>
      </c>
      <c r="J2" s="9" t="s">
        <v>20</v>
      </c>
      <c r="K2" s="9" t="s">
        <v>21</v>
      </c>
      <c r="L2" s="10" t="s">
        <v>22</v>
      </c>
      <c r="M2" s="11" t="s">
        <v>23</v>
      </c>
      <c r="N2" s="12" t="s">
        <v>25</v>
      </c>
      <c r="O2" s="2" t="s">
        <v>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24</v>
      </c>
      <c r="U2" s="9" t="s">
        <v>20</v>
      </c>
      <c r="V2" s="9" t="s">
        <v>21</v>
      </c>
      <c r="W2" s="10" t="s">
        <v>22</v>
      </c>
      <c r="X2" s="11" t="s">
        <v>23</v>
      </c>
      <c r="Y2" s="12" t="s">
        <v>25</v>
      </c>
      <c r="Z2" s="3" t="s">
        <v>5</v>
      </c>
      <c r="AA2" s="9" t="s">
        <v>16</v>
      </c>
      <c r="AB2" s="9" t="s">
        <v>17</v>
      </c>
      <c r="AC2" s="9" t="s">
        <v>18</v>
      </c>
      <c r="AD2" s="9" t="s">
        <v>19</v>
      </c>
      <c r="AE2" s="9" t="s">
        <v>24</v>
      </c>
      <c r="AF2" s="9" t="s">
        <v>20</v>
      </c>
      <c r="AG2" s="9" t="s">
        <v>21</v>
      </c>
      <c r="AH2" s="10" t="s">
        <v>22</v>
      </c>
      <c r="AI2" s="11" t="s">
        <v>23</v>
      </c>
      <c r="AJ2" s="12" t="s">
        <v>25</v>
      </c>
      <c r="AK2" s="3" t="s">
        <v>5</v>
      </c>
      <c r="AL2" s="9" t="s">
        <v>16</v>
      </c>
      <c r="AM2" s="9" t="s">
        <v>17</v>
      </c>
      <c r="AN2" s="9" t="s">
        <v>18</v>
      </c>
      <c r="AO2" s="9" t="s">
        <v>19</v>
      </c>
      <c r="AP2" s="9" t="s">
        <v>24</v>
      </c>
      <c r="AQ2" s="9" t="s">
        <v>20</v>
      </c>
      <c r="AR2" s="9" t="s">
        <v>21</v>
      </c>
      <c r="AS2" s="10" t="s">
        <v>22</v>
      </c>
      <c r="AT2" s="11" t="s">
        <v>23</v>
      </c>
      <c r="AU2" s="12" t="s">
        <v>25</v>
      </c>
      <c r="AV2" s="3" t="s">
        <v>5</v>
      </c>
      <c r="AW2" s="9" t="s">
        <v>16</v>
      </c>
      <c r="AX2" s="9" t="s">
        <v>17</v>
      </c>
      <c r="AY2" s="9" t="s">
        <v>18</v>
      </c>
      <c r="AZ2" s="9" t="s">
        <v>19</v>
      </c>
      <c r="BA2" s="9" t="s">
        <v>24</v>
      </c>
      <c r="BB2" s="9" t="s">
        <v>20</v>
      </c>
      <c r="BC2" s="9" t="s">
        <v>21</v>
      </c>
      <c r="BD2" s="10" t="s">
        <v>22</v>
      </c>
      <c r="BE2" s="126" t="s">
        <v>23</v>
      </c>
      <c r="BF2" s="14" t="s">
        <v>40</v>
      </c>
    </row>
    <row r="3" spans="1:66" x14ac:dyDescent="0.25">
      <c r="A3" s="15">
        <v>45893</v>
      </c>
      <c r="B3" s="15">
        <f>A3+4</f>
        <v>45897</v>
      </c>
      <c r="D3" s="16">
        <f t="shared" ref="D3:D27" si="0">A3</f>
        <v>45893</v>
      </c>
      <c r="E3" s="17"/>
      <c r="F3" s="17"/>
      <c r="G3" s="17"/>
      <c r="H3" s="17"/>
      <c r="I3" s="17"/>
      <c r="J3" s="17"/>
      <c r="K3" s="17"/>
      <c r="L3" s="17"/>
      <c r="M3" s="17"/>
      <c r="N3" s="18"/>
      <c r="O3" s="19">
        <f>A3+1</f>
        <v>45894</v>
      </c>
      <c r="P3" s="17"/>
      <c r="Q3" s="17"/>
      <c r="R3" s="17"/>
      <c r="S3" s="17"/>
      <c r="T3" s="17"/>
      <c r="U3" s="17"/>
      <c r="V3" s="17"/>
      <c r="W3" s="17"/>
      <c r="X3" s="17"/>
      <c r="Y3" s="17"/>
      <c r="Z3" s="19">
        <f>A3+2</f>
        <v>45895</v>
      </c>
      <c r="AA3" s="17"/>
      <c r="AB3" s="17"/>
      <c r="AC3" s="17"/>
      <c r="AD3" s="17"/>
      <c r="AE3" s="110"/>
      <c r="AF3" s="17"/>
      <c r="AG3" s="17"/>
      <c r="AH3" s="17"/>
      <c r="AI3" s="17"/>
      <c r="AJ3" s="17"/>
      <c r="AK3" s="19">
        <f>A3+3</f>
        <v>45896</v>
      </c>
      <c r="AL3" s="17"/>
      <c r="AM3" s="17"/>
      <c r="AN3" s="17"/>
      <c r="AO3" s="17"/>
      <c r="AP3" s="17"/>
      <c r="AQ3" s="17"/>
      <c r="AR3" s="20"/>
      <c r="AS3" s="20"/>
      <c r="AT3" s="20"/>
      <c r="AU3" s="17"/>
      <c r="AV3" s="19">
        <f>A3+4</f>
        <v>45897</v>
      </c>
      <c r="AW3" s="17"/>
      <c r="AX3" s="17"/>
      <c r="AY3" s="17"/>
      <c r="AZ3" s="17"/>
      <c r="BA3" s="17"/>
      <c r="BB3" s="110"/>
      <c r="BC3" s="110"/>
      <c r="BD3" s="110"/>
      <c r="BE3" s="21"/>
      <c r="BF3" s="22"/>
    </row>
    <row r="4" spans="1:66" ht="85.5" customHeight="1" x14ac:dyDescent="0.25">
      <c r="A4" s="15">
        <f>B3+3</f>
        <v>45900</v>
      </c>
      <c r="B4" s="15">
        <f t="shared" ref="B4:B27" si="1">A4+4</f>
        <v>45904</v>
      </c>
      <c r="C4" s="23"/>
      <c r="D4" s="24">
        <f t="shared" si="0"/>
        <v>45900</v>
      </c>
      <c r="E4" s="17"/>
      <c r="F4" s="17"/>
      <c r="I4" s="110"/>
      <c r="J4" s="110"/>
      <c r="M4" s="118"/>
      <c r="N4" s="110"/>
      <c r="O4" s="19">
        <f>O3+7</f>
        <v>45901</v>
      </c>
      <c r="P4" s="110"/>
      <c r="T4" s="110"/>
      <c r="U4" s="110"/>
      <c r="V4" s="158" t="s">
        <v>28</v>
      </c>
      <c r="W4" s="158"/>
      <c r="X4" s="158"/>
      <c r="Y4" s="110"/>
      <c r="Z4" s="19">
        <f>Z3+7</f>
        <v>45902</v>
      </c>
      <c r="AA4" s="17"/>
      <c r="AB4" s="17"/>
      <c r="AC4" s="159" t="s">
        <v>79</v>
      </c>
      <c r="AD4" s="159"/>
      <c r="AE4" s="17"/>
      <c r="AG4" s="160" t="s">
        <v>164</v>
      </c>
      <c r="AH4" s="160"/>
      <c r="AI4" s="160"/>
      <c r="AJ4" s="17"/>
      <c r="AK4" s="19">
        <f>AK3+7</f>
        <v>45903</v>
      </c>
      <c r="AL4" s="17"/>
      <c r="AM4" s="161" t="s">
        <v>32</v>
      </c>
      <c r="AN4" s="162"/>
      <c r="AO4" s="162"/>
      <c r="AP4" s="17"/>
      <c r="AR4" s="160" t="s">
        <v>164</v>
      </c>
      <c r="AS4" s="160"/>
      <c r="AT4" s="160"/>
      <c r="AU4" s="39" t="s">
        <v>161</v>
      </c>
      <c r="AV4" s="19">
        <f>AV3+7</f>
        <v>45904</v>
      </c>
      <c r="AW4" s="17"/>
      <c r="AX4" s="158" t="s">
        <v>27</v>
      </c>
      <c r="AY4" s="158"/>
      <c r="AZ4" s="158"/>
      <c r="BA4" s="17"/>
      <c r="BB4" s="17"/>
      <c r="BC4" s="17"/>
      <c r="BD4" s="17"/>
      <c r="BE4" s="17"/>
      <c r="BF4" s="52"/>
      <c r="BH4" s="164" t="s">
        <v>46</v>
      </c>
      <c r="BI4" s="165"/>
      <c r="BJ4" s="165"/>
      <c r="BK4" s="165"/>
    </row>
    <row r="5" spans="1:66" ht="70.900000000000006" customHeight="1" x14ac:dyDescent="0.25">
      <c r="A5" s="15">
        <f t="shared" ref="A5:A26" si="2">B4+3</f>
        <v>45907</v>
      </c>
      <c r="B5" s="15">
        <f t="shared" si="1"/>
        <v>45911</v>
      </c>
      <c r="D5" s="24">
        <f t="shared" si="0"/>
        <v>45907</v>
      </c>
      <c r="E5" s="166" t="s">
        <v>43</v>
      </c>
      <c r="F5" s="166"/>
      <c r="G5" s="166"/>
      <c r="H5" s="166"/>
      <c r="I5" s="25"/>
      <c r="J5" s="166" t="s">
        <v>43</v>
      </c>
      <c r="K5" s="166"/>
      <c r="L5" s="166"/>
      <c r="M5" s="166"/>
      <c r="N5" s="166"/>
      <c r="O5" s="19">
        <f t="shared" ref="O5:O26" si="3">O4+7</f>
        <v>45908</v>
      </c>
      <c r="P5" s="167" t="s">
        <v>142</v>
      </c>
      <c r="Q5" s="167"/>
      <c r="R5" s="167"/>
      <c r="S5" s="167"/>
      <c r="T5" s="25"/>
      <c r="V5" s="206" t="s">
        <v>188</v>
      </c>
      <c r="W5" s="206"/>
      <c r="X5" s="206"/>
      <c r="Z5" s="19">
        <f t="shared" ref="Z5:Z26" si="4">Z4+7</f>
        <v>45909</v>
      </c>
      <c r="AA5" s="17"/>
      <c r="AB5" s="161" t="s">
        <v>32</v>
      </c>
      <c r="AC5" s="162"/>
      <c r="AD5" s="162"/>
      <c r="AE5" s="17"/>
      <c r="AF5" s="17"/>
      <c r="AG5" s="160" t="s">
        <v>164</v>
      </c>
      <c r="AH5" s="160"/>
      <c r="AI5" s="160"/>
      <c r="AJ5" s="160"/>
      <c r="AK5" s="19">
        <f t="shared" ref="AK5:AK26" si="5">AK4+7</f>
        <v>45910</v>
      </c>
      <c r="AL5" s="113" t="s">
        <v>26</v>
      </c>
      <c r="AM5" s="169" t="s">
        <v>61</v>
      </c>
      <c r="AN5" s="169"/>
      <c r="AO5" s="169"/>
      <c r="AP5" s="90" t="s">
        <v>26</v>
      </c>
      <c r="AQ5" s="169" t="s">
        <v>186</v>
      </c>
      <c r="AR5" s="169"/>
      <c r="AS5" s="161" t="s">
        <v>205</v>
      </c>
      <c r="AT5" s="161"/>
      <c r="AU5" s="161"/>
      <c r="AV5" s="19">
        <f t="shared" ref="AV5:AV26" si="6">AV4+7</f>
        <v>45911</v>
      </c>
      <c r="AW5" s="158" t="s">
        <v>27</v>
      </c>
      <c r="AX5" s="158"/>
      <c r="AY5" s="158" t="s">
        <v>28</v>
      </c>
      <c r="AZ5" s="158"/>
      <c r="BB5" s="17"/>
      <c r="BC5" s="17"/>
      <c r="BD5" s="17"/>
      <c r="BE5" s="17"/>
      <c r="BF5" s="52"/>
      <c r="BH5" s="161" t="s">
        <v>51</v>
      </c>
      <c r="BI5" s="162"/>
      <c r="BJ5" s="162"/>
      <c r="BK5" s="110"/>
      <c r="BL5" s="161" t="s">
        <v>51</v>
      </c>
      <c r="BM5" s="162"/>
      <c r="BN5" s="162"/>
    </row>
    <row r="6" spans="1:66" ht="79.900000000000006" customHeight="1" x14ac:dyDescent="0.25">
      <c r="A6" s="15">
        <f t="shared" si="2"/>
        <v>45914</v>
      </c>
      <c r="B6" s="15">
        <f t="shared" si="1"/>
        <v>45918</v>
      </c>
      <c r="D6" s="24">
        <f t="shared" si="0"/>
        <v>45914</v>
      </c>
      <c r="E6" s="17"/>
      <c r="F6" s="158" t="s">
        <v>27</v>
      </c>
      <c r="G6" s="158"/>
      <c r="H6" s="158"/>
      <c r="I6" s="17"/>
      <c r="J6" s="17"/>
      <c r="K6" s="184" t="s">
        <v>60</v>
      </c>
      <c r="L6" s="184"/>
      <c r="M6" s="184"/>
      <c r="N6" s="17"/>
      <c r="O6" s="19">
        <f t="shared" si="3"/>
        <v>45915</v>
      </c>
      <c r="P6" s="110"/>
      <c r="Q6" s="158" t="s">
        <v>184</v>
      </c>
      <c r="R6" s="163"/>
      <c r="S6" s="163"/>
      <c r="T6" s="17" t="s">
        <v>26</v>
      </c>
      <c r="U6" s="17"/>
      <c r="V6" s="158" t="s">
        <v>28</v>
      </c>
      <c r="W6" s="158"/>
      <c r="X6" s="158"/>
      <c r="Y6" s="110"/>
      <c r="Z6" s="19">
        <f t="shared" si="4"/>
        <v>45916</v>
      </c>
      <c r="AA6" s="161" t="s">
        <v>63</v>
      </c>
      <c r="AB6" s="161"/>
      <c r="AC6" s="161"/>
      <c r="AD6" s="161"/>
      <c r="AF6" s="17"/>
      <c r="AG6" s="207" t="s">
        <v>173</v>
      </c>
      <c r="AH6" s="207"/>
      <c r="AI6" s="207"/>
      <c r="AJ6" s="207"/>
      <c r="AK6" s="19">
        <f t="shared" si="5"/>
        <v>45917</v>
      </c>
      <c r="AL6" s="113" t="s">
        <v>26</v>
      </c>
      <c r="AM6" s="169" t="s">
        <v>30</v>
      </c>
      <c r="AN6" s="169"/>
      <c r="AO6" s="169"/>
      <c r="AP6" s="79"/>
      <c r="AQ6" s="169" t="s">
        <v>30</v>
      </c>
      <c r="AR6" s="169"/>
      <c r="AS6" s="169"/>
      <c r="AT6" s="17" t="s">
        <v>26</v>
      </c>
      <c r="AU6" s="17"/>
      <c r="AV6" s="19">
        <f t="shared" si="6"/>
        <v>45918</v>
      </c>
      <c r="AW6" s="17"/>
      <c r="AX6" s="170" t="s">
        <v>189</v>
      </c>
      <c r="AY6" s="170"/>
      <c r="AZ6" s="170"/>
      <c r="BA6" s="94"/>
      <c r="BB6" s="171" t="s">
        <v>68</v>
      </c>
      <c r="BC6" s="171"/>
      <c r="BD6" s="17"/>
      <c r="BE6" s="17"/>
      <c r="BF6" s="52"/>
      <c r="BH6" s="161" t="s">
        <v>84</v>
      </c>
      <c r="BI6" s="161"/>
      <c r="BJ6" s="161"/>
    </row>
    <row r="7" spans="1:66" ht="60" customHeight="1" x14ac:dyDescent="0.25">
      <c r="A7" s="15">
        <f t="shared" si="2"/>
        <v>45921</v>
      </c>
      <c r="B7" s="15">
        <f t="shared" si="1"/>
        <v>45925</v>
      </c>
      <c r="C7" s="26" t="s">
        <v>39</v>
      </c>
      <c r="D7" s="24">
        <f t="shared" si="0"/>
        <v>45921</v>
      </c>
      <c r="E7" s="17"/>
      <c r="F7" s="158" t="s">
        <v>27</v>
      </c>
      <c r="G7" s="158"/>
      <c r="H7" s="158"/>
      <c r="I7" s="17"/>
      <c r="J7" s="17"/>
      <c r="K7" s="173" t="s">
        <v>179</v>
      </c>
      <c r="L7" s="173"/>
      <c r="M7" s="173"/>
      <c r="N7" s="17" t="s">
        <v>26</v>
      </c>
      <c r="O7" s="19">
        <f t="shared" si="3"/>
        <v>45922</v>
      </c>
      <c r="P7" s="110"/>
      <c r="Q7" s="172" t="s">
        <v>210</v>
      </c>
      <c r="R7" s="172"/>
      <c r="S7" s="172"/>
      <c r="T7" s="17"/>
      <c r="U7" s="17"/>
      <c r="V7" s="158" t="s">
        <v>28</v>
      </c>
      <c r="W7" s="158"/>
      <c r="X7" s="158"/>
      <c r="Y7" s="110"/>
      <c r="Z7" s="19">
        <f t="shared" si="4"/>
        <v>45923</v>
      </c>
      <c r="AA7" s="26" t="s">
        <v>162</v>
      </c>
      <c r="AB7" s="171" t="s">
        <v>66</v>
      </c>
      <c r="AC7" s="171"/>
      <c r="AD7" s="171"/>
      <c r="AE7" s="26"/>
      <c r="AF7" s="171" t="s">
        <v>65</v>
      </c>
      <c r="AG7" s="171"/>
      <c r="AH7" s="171"/>
      <c r="AI7" s="26" t="s">
        <v>162</v>
      </c>
      <c r="AJ7" s="26"/>
      <c r="AK7" s="19">
        <f t="shared" si="5"/>
        <v>45924</v>
      </c>
      <c r="AL7" s="26" t="s">
        <v>162</v>
      </c>
      <c r="AM7" s="171" t="s">
        <v>65</v>
      </c>
      <c r="AN7" s="171"/>
      <c r="AO7" s="171"/>
      <c r="AP7" s="26"/>
      <c r="AQ7" s="171" t="s">
        <v>65</v>
      </c>
      <c r="AR7" s="171"/>
      <c r="AS7" s="171"/>
      <c r="AT7" s="26" t="s">
        <v>162</v>
      </c>
      <c r="AU7" s="26"/>
      <c r="AV7" s="19">
        <f t="shared" si="6"/>
        <v>45925</v>
      </c>
      <c r="AW7" s="90"/>
      <c r="AX7" s="170" t="s">
        <v>189</v>
      </c>
      <c r="AY7" s="170"/>
      <c r="AZ7" s="170"/>
      <c r="BA7" s="90"/>
      <c r="BB7" s="90"/>
      <c r="BC7" s="172" t="s">
        <v>210</v>
      </c>
      <c r="BD7" s="172"/>
      <c r="BE7" s="172"/>
      <c r="BF7" s="123" t="s">
        <v>39</v>
      </c>
    </row>
    <row r="8" spans="1:66" ht="90.6" customHeight="1" x14ac:dyDescent="0.25">
      <c r="A8" s="15">
        <f t="shared" si="2"/>
        <v>45928</v>
      </c>
      <c r="B8" s="15">
        <f t="shared" si="1"/>
        <v>45932</v>
      </c>
      <c r="D8" s="24">
        <f t="shared" si="0"/>
        <v>45928</v>
      </c>
      <c r="E8" s="17"/>
      <c r="F8" s="158" t="s">
        <v>27</v>
      </c>
      <c r="G8" s="158"/>
      <c r="H8" s="158"/>
      <c r="I8" s="17"/>
      <c r="J8" s="17"/>
      <c r="K8" s="170" t="s">
        <v>60</v>
      </c>
      <c r="L8" s="170"/>
      <c r="M8" s="170"/>
      <c r="N8" s="17"/>
      <c r="O8" s="19">
        <f t="shared" si="3"/>
        <v>45929</v>
      </c>
      <c r="P8" s="17"/>
      <c r="Q8" s="158" t="s">
        <v>154</v>
      </c>
      <c r="R8" s="163"/>
      <c r="S8" s="163"/>
      <c r="T8" s="17"/>
      <c r="U8" s="17"/>
      <c r="V8" s="158" t="s">
        <v>28</v>
      </c>
      <c r="W8" s="158"/>
      <c r="X8" s="158"/>
      <c r="Y8" s="110"/>
      <c r="Z8" s="19">
        <f t="shared" si="4"/>
        <v>45930</v>
      </c>
      <c r="AB8" s="113" t="s">
        <v>26</v>
      </c>
      <c r="AC8" s="164" t="s">
        <v>46</v>
      </c>
      <c r="AD8" s="164"/>
      <c r="AE8" s="164"/>
      <c r="AF8" s="17"/>
      <c r="AG8" s="172" t="s">
        <v>210</v>
      </c>
      <c r="AH8" s="172"/>
      <c r="AI8" s="172"/>
      <c r="AJ8" s="17"/>
      <c r="AK8" s="19">
        <f t="shared" si="5"/>
        <v>45931</v>
      </c>
      <c r="AL8" s="113" t="s">
        <v>26</v>
      </c>
      <c r="AM8" s="169" t="s">
        <v>30</v>
      </c>
      <c r="AN8" s="169"/>
      <c r="AO8" s="169"/>
      <c r="AP8" s="79"/>
      <c r="AQ8" s="169" t="s">
        <v>30</v>
      </c>
      <c r="AR8" s="169"/>
      <c r="AS8" s="169"/>
      <c r="AT8" s="169"/>
      <c r="AU8" s="17" t="s">
        <v>182</v>
      </c>
      <c r="AV8" s="19">
        <f t="shared" si="6"/>
        <v>45932</v>
      </c>
      <c r="AW8" s="90"/>
      <c r="AX8" s="170" t="s">
        <v>189</v>
      </c>
      <c r="AY8" s="170"/>
      <c r="AZ8" s="170"/>
      <c r="BA8" s="170"/>
      <c r="BB8" s="90"/>
      <c r="BC8" s="208" t="s">
        <v>211</v>
      </c>
      <c r="BD8" s="208"/>
      <c r="BE8" s="208"/>
      <c r="BF8" s="52"/>
      <c r="BH8" s="160" t="s">
        <v>75</v>
      </c>
      <c r="BI8" s="160"/>
      <c r="BJ8" s="160"/>
      <c r="BK8" s="160"/>
      <c r="BL8" s="113" t="s">
        <v>160</v>
      </c>
    </row>
    <row r="9" spans="1:66" ht="89.25" customHeight="1" x14ac:dyDescent="0.25">
      <c r="A9" s="15">
        <f t="shared" si="2"/>
        <v>45935</v>
      </c>
      <c r="B9" s="15">
        <f t="shared" si="1"/>
        <v>45939</v>
      </c>
      <c r="D9" s="24">
        <f t="shared" si="0"/>
        <v>45935</v>
      </c>
      <c r="E9" s="17"/>
      <c r="F9" s="158" t="s">
        <v>27</v>
      </c>
      <c r="G9" s="158"/>
      <c r="H9" s="158"/>
      <c r="I9" s="17"/>
      <c r="J9" s="17"/>
      <c r="K9" s="173" t="s">
        <v>179</v>
      </c>
      <c r="L9" s="173"/>
      <c r="M9" s="173"/>
      <c r="N9" s="17" t="s">
        <v>26</v>
      </c>
      <c r="O9" s="19">
        <f t="shared" si="3"/>
        <v>45936</v>
      </c>
      <c r="P9" s="17"/>
      <c r="Q9" s="158" t="s">
        <v>154</v>
      </c>
      <c r="R9" s="163"/>
      <c r="S9" s="163"/>
      <c r="T9" s="17"/>
      <c r="U9" s="17"/>
      <c r="V9" s="209" t="s">
        <v>28</v>
      </c>
      <c r="W9" s="209"/>
      <c r="X9" s="209"/>
      <c r="Y9" s="110"/>
      <c r="Z9" s="19">
        <f t="shared" si="4"/>
        <v>45937</v>
      </c>
      <c r="AA9" s="110"/>
      <c r="AB9" s="172" t="s">
        <v>210</v>
      </c>
      <c r="AC9" s="172"/>
      <c r="AD9" s="172"/>
      <c r="AE9" s="17"/>
      <c r="AF9" s="17"/>
      <c r="AG9" s="172" t="s">
        <v>210</v>
      </c>
      <c r="AH9" s="172"/>
      <c r="AI9" s="172"/>
      <c r="AJ9" s="17"/>
      <c r="AK9" s="19">
        <f t="shared" si="5"/>
        <v>45938</v>
      </c>
      <c r="AL9" s="168" t="s">
        <v>200</v>
      </c>
      <c r="AM9" s="168"/>
      <c r="AN9" s="168"/>
      <c r="AO9" s="168"/>
      <c r="AP9" s="113" t="s">
        <v>191</v>
      </c>
      <c r="AR9" s="169" t="s">
        <v>168</v>
      </c>
      <c r="AS9" s="169"/>
      <c r="AT9" s="169"/>
      <c r="AU9" s="17" t="s">
        <v>167</v>
      </c>
      <c r="AV9" s="19">
        <f t="shared" si="6"/>
        <v>45939</v>
      </c>
      <c r="AW9" s="53"/>
      <c r="AX9" s="170" t="s">
        <v>190</v>
      </c>
      <c r="AY9" s="170"/>
      <c r="AZ9" s="170"/>
      <c r="BA9" s="170"/>
      <c r="BB9" s="53"/>
      <c r="BC9" s="172" t="s">
        <v>210</v>
      </c>
      <c r="BD9" s="172"/>
      <c r="BE9" s="172"/>
      <c r="BF9" s="52"/>
    </row>
    <row r="10" spans="1:66" ht="73.900000000000006" customHeight="1" x14ac:dyDescent="0.25">
      <c r="A10" s="15">
        <f t="shared" si="2"/>
        <v>45942</v>
      </c>
      <c r="B10" s="15">
        <f t="shared" si="1"/>
        <v>45946</v>
      </c>
      <c r="D10" s="24">
        <f t="shared" si="0"/>
        <v>45942</v>
      </c>
      <c r="E10" s="17"/>
      <c r="F10" s="158" t="s">
        <v>27</v>
      </c>
      <c r="G10" s="158"/>
      <c r="H10" s="158"/>
      <c r="I10" s="17"/>
      <c r="J10" s="17"/>
      <c r="K10" s="170" t="s">
        <v>60</v>
      </c>
      <c r="L10" s="170"/>
      <c r="M10" s="170"/>
      <c r="N10" s="17"/>
      <c r="O10" s="19">
        <f t="shared" si="3"/>
        <v>45943</v>
      </c>
      <c r="P10" s="17"/>
      <c r="Q10" s="158" t="s">
        <v>155</v>
      </c>
      <c r="R10" s="163"/>
      <c r="S10" s="163"/>
      <c r="T10" s="17"/>
      <c r="U10" s="17"/>
      <c r="V10" s="158" t="s">
        <v>28</v>
      </c>
      <c r="W10" s="158"/>
      <c r="X10" s="158"/>
      <c r="Y10" s="17"/>
      <c r="Z10" s="19">
        <f t="shared" si="4"/>
        <v>45944</v>
      </c>
      <c r="AA10" s="113" t="s">
        <v>26</v>
      </c>
      <c r="AB10" s="169" t="s">
        <v>47</v>
      </c>
      <c r="AC10" s="169"/>
      <c r="AD10" s="169"/>
      <c r="AE10" s="90"/>
      <c r="AF10" s="90"/>
      <c r="AG10" s="169" t="s">
        <v>48</v>
      </c>
      <c r="AH10" s="169"/>
      <c r="AI10" s="169"/>
      <c r="AJ10" s="91" t="s">
        <v>26</v>
      </c>
      <c r="AK10" s="19">
        <f t="shared" si="5"/>
        <v>45945</v>
      </c>
      <c r="AL10" s="17" t="s">
        <v>26</v>
      </c>
      <c r="AM10" s="169" t="s">
        <v>47</v>
      </c>
      <c r="AN10" s="169"/>
      <c r="AO10" s="169"/>
      <c r="AP10" s="53"/>
      <c r="AQ10" s="169" t="s">
        <v>48</v>
      </c>
      <c r="AR10" s="169"/>
      <c r="AS10" s="169"/>
      <c r="AT10" s="113" t="s">
        <v>26</v>
      </c>
      <c r="AV10" s="19">
        <f t="shared" si="6"/>
        <v>45946</v>
      </c>
      <c r="AW10" s="174" t="s">
        <v>89</v>
      </c>
      <c r="AX10" s="174"/>
      <c r="AY10" s="174"/>
      <c r="AZ10" s="174"/>
      <c r="BA10" s="174"/>
      <c r="BB10" s="174"/>
      <c r="BC10" s="174"/>
      <c r="BD10" s="174"/>
      <c r="BE10" s="174"/>
      <c r="BF10" s="52"/>
    </row>
    <row r="11" spans="1:66" ht="89.25" customHeight="1" x14ac:dyDescent="0.25">
      <c r="A11" s="15">
        <f t="shared" si="2"/>
        <v>45949</v>
      </c>
      <c r="B11" s="15">
        <f t="shared" si="1"/>
        <v>45953</v>
      </c>
      <c r="C11" s="26" t="s">
        <v>39</v>
      </c>
      <c r="D11" s="24">
        <f t="shared" si="0"/>
        <v>45949</v>
      </c>
      <c r="E11" s="170" t="s">
        <v>190</v>
      </c>
      <c r="F11" s="170"/>
      <c r="G11" s="170"/>
      <c r="H11" s="170"/>
      <c r="J11" s="17"/>
      <c r="K11" s="173" t="s">
        <v>179</v>
      </c>
      <c r="L11" s="173"/>
      <c r="M11" s="173"/>
      <c r="N11" s="173"/>
      <c r="O11" s="19">
        <f t="shared" si="3"/>
        <v>45950</v>
      </c>
      <c r="Q11" s="158" t="s">
        <v>154</v>
      </c>
      <c r="R11" s="163"/>
      <c r="S11" s="163"/>
      <c r="V11" s="170" t="s">
        <v>185</v>
      </c>
      <c r="W11" s="170"/>
      <c r="X11" s="112" t="s">
        <v>180</v>
      </c>
      <c r="Y11" s="113" t="s">
        <v>26</v>
      </c>
      <c r="Z11" s="19">
        <f t="shared" si="4"/>
        <v>45951</v>
      </c>
      <c r="AA11" s="207" t="s">
        <v>173</v>
      </c>
      <c r="AB11" s="207"/>
      <c r="AC11" s="207"/>
      <c r="AD11" s="207"/>
      <c r="AE11" s="26"/>
      <c r="AF11" s="26"/>
      <c r="AG11" s="172" t="s">
        <v>68</v>
      </c>
      <c r="AH11" s="172"/>
      <c r="AI11" s="172"/>
      <c r="AJ11" s="26"/>
      <c r="AK11" s="19">
        <f t="shared" si="5"/>
        <v>45952</v>
      </c>
      <c r="AL11" s="26" t="s">
        <v>192</v>
      </c>
      <c r="AM11" s="171" t="s">
        <v>65</v>
      </c>
      <c r="AN11" s="171"/>
      <c r="AO11" s="171"/>
      <c r="AP11" s="26"/>
      <c r="AQ11" s="171" t="s">
        <v>174</v>
      </c>
      <c r="AR11" s="171"/>
      <c r="AS11" s="171"/>
      <c r="AT11" s="26" t="s">
        <v>26</v>
      </c>
      <c r="AU11" s="26"/>
      <c r="AV11" s="19">
        <f t="shared" si="6"/>
        <v>45953</v>
      </c>
      <c r="AW11" s="53"/>
      <c r="AX11" s="170" t="s">
        <v>190</v>
      </c>
      <c r="AY11" s="170"/>
      <c r="AZ11" s="170"/>
      <c r="BA11" s="170"/>
      <c r="BB11" s="53"/>
      <c r="BC11" s="172" t="s">
        <v>210</v>
      </c>
      <c r="BD11" s="172"/>
      <c r="BE11" s="172"/>
      <c r="BF11" s="123" t="s">
        <v>39</v>
      </c>
    </row>
    <row r="12" spans="1:66" ht="48.75" customHeight="1" x14ac:dyDescent="0.25">
      <c r="A12" s="15">
        <f t="shared" si="2"/>
        <v>45956</v>
      </c>
      <c r="B12" s="15">
        <f t="shared" si="1"/>
        <v>45960</v>
      </c>
      <c r="C12" s="113" t="s">
        <v>153</v>
      </c>
      <c r="D12" s="24">
        <f t="shared" si="0"/>
        <v>45956</v>
      </c>
      <c r="E12" s="176" t="s">
        <v>44</v>
      </c>
      <c r="F12" s="176"/>
      <c r="G12" s="176"/>
      <c r="H12" s="176"/>
      <c r="I12" s="176"/>
      <c r="J12" s="176" t="s">
        <v>44</v>
      </c>
      <c r="K12" s="176"/>
      <c r="L12" s="176"/>
      <c r="M12" s="176"/>
      <c r="N12" s="176"/>
      <c r="O12" s="19">
        <f t="shared" si="3"/>
        <v>45957</v>
      </c>
      <c r="P12" s="176" t="s">
        <v>44</v>
      </c>
      <c r="Q12" s="176"/>
      <c r="R12" s="176"/>
      <c r="S12" s="176"/>
      <c r="T12" s="176"/>
      <c r="U12" s="176" t="s">
        <v>44</v>
      </c>
      <c r="V12" s="176"/>
      <c r="W12" s="176"/>
      <c r="X12" s="176"/>
      <c r="Y12" s="176"/>
      <c r="Z12" s="19">
        <f t="shared" si="4"/>
        <v>45958</v>
      </c>
      <c r="AA12" s="176" t="s">
        <v>44</v>
      </c>
      <c r="AB12" s="176"/>
      <c r="AC12" s="176"/>
      <c r="AD12" s="176"/>
      <c r="AE12" s="176"/>
      <c r="AF12" s="176" t="s">
        <v>44</v>
      </c>
      <c r="AG12" s="176"/>
      <c r="AH12" s="176"/>
      <c r="AI12" s="176"/>
      <c r="AJ12" s="176"/>
      <c r="AK12" s="19">
        <f t="shared" si="5"/>
        <v>45959</v>
      </c>
      <c r="AL12" s="176" t="s">
        <v>44</v>
      </c>
      <c r="AM12" s="176"/>
      <c r="AN12" s="176"/>
      <c r="AO12" s="176"/>
      <c r="AP12" s="176"/>
      <c r="AQ12" s="176" t="s">
        <v>44</v>
      </c>
      <c r="AR12" s="176"/>
      <c r="AS12" s="176"/>
      <c r="AT12" s="176"/>
      <c r="AU12" s="176"/>
      <c r="AV12" s="19">
        <f t="shared" si="6"/>
        <v>45960</v>
      </c>
      <c r="AW12" s="176" t="s">
        <v>44</v>
      </c>
      <c r="AX12" s="176"/>
      <c r="AY12" s="176"/>
      <c r="AZ12" s="176"/>
      <c r="BA12" s="176"/>
      <c r="BB12" s="176"/>
      <c r="BC12" s="176"/>
      <c r="BD12" s="176"/>
      <c r="BE12" s="176"/>
      <c r="BF12" s="52"/>
    </row>
    <row r="13" spans="1:66" ht="75" customHeight="1" x14ac:dyDescent="0.25">
      <c r="A13" s="15">
        <f t="shared" si="2"/>
        <v>45963</v>
      </c>
      <c r="B13" s="15">
        <f t="shared" si="1"/>
        <v>45967</v>
      </c>
      <c r="D13" s="24">
        <f t="shared" si="0"/>
        <v>45963</v>
      </c>
      <c r="E13" s="110"/>
      <c r="F13" s="158" t="s">
        <v>177</v>
      </c>
      <c r="G13" s="158"/>
      <c r="H13" s="158"/>
      <c r="I13" s="17" t="s">
        <v>26</v>
      </c>
      <c r="J13" s="17"/>
      <c r="K13" s="170" t="s">
        <v>198</v>
      </c>
      <c r="L13" s="170"/>
      <c r="M13" s="170"/>
      <c r="N13" s="170"/>
      <c r="O13" s="19">
        <f t="shared" si="3"/>
        <v>45964</v>
      </c>
      <c r="P13" s="110"/>
      <c r="Q13" s="158" t="s">
        <v>154</v>
      </c>
      <c r="R13" s="158"/>
      <c r="S13" s="158"/>
      <c r="T13" s="74"/>
      <c r="U13" s="74"/>
      <c r="V13" s="172" t="s">
        <v>210</v>
      </c>
      <c r="W13" s="172"/>
      <c r="X13" s="172"/>
      <c r="Y13" s="110"/>
      <c r="Z13" s="19">
        <f t="shared" si="4"/>
        <v>45965</v>
      </c>
      <c r="AA13" s="169" t="s">
        <v>165</v>
      </c>
      <c r="AB13" s="169"/>
      <c r="AC13" s="169"/>
      <c r="AD13" s="113" t="s">
        <v>26</v>
      </c>
      <c r="AE13" s="110"/>
      <c r="AF13" s="110" t="s">
        <v>26</v>
      </c>
      <c r="AG13" s="210" t="s">
        <v>208</v>
      </c>
      <c r="AH13" s="210"/>
      <c r="AI13" s="210"/>
      <c r="AJ13" s="110"/>
      <c r="AK13" s="19">
        <f t="shared" si="5"/>
        <v>45966</v>
      </c>
      <c r="AL13" s="17" t="s">
        <v>166</v>
      </c>
      <c r="AM13" s="161" t="s">
        <v>51</v>
      </c>
      <c r="AN13" s="162"/>
      <c r="AO13" s="162"/>
      <c r="AP13" s="110"/>
      <c r="AQ13" s="161" t="s">
        <v>51</v>
      </c>
      <c r="AR13" s="162"/>
      <c r="AS13" s="162"/>
      <c r="AT13" s="113" t="s">
        <v>167</v>
      </c>
      <c r="AV13" s="19">
        <f t="shared" si="6"/>
        <v>45967</v>
      </c>
      <c r="AW13" s="17"/>
      <c r="AX13" s="181" t="s">
        <v>98</v>
      </c>
      <c r="AY13" s="181"/>
      <c r="AZ13" s="181"/>
      <c r="BA13" s="181"/>
      <c r="BB13" s="17"/>
      <c r="BC13" s="172" t="s">
        <v>210</v>
      </c>
      <c r="BD13" s="172"/>
      <c r="BE13" s="172"/>
      <c r="BF13" s="52"/>
    </row>
    <row r="14" spans="1:66" ht="72" customHeight="1" x14ac:dyDescent="0.25">
      <c r="A14" s="15">
        <f t="shared" si="2"/>
        <v>45970</v>
      </c>
      <c r="B14" s="15">
        <f t="shared" si="1"/>
        <v>45974</v>
      </c>
      <c r="C14" s="23"/>
      <c r="D14" s="24">
        <f t="shared" si="0"/>
        <v>45970</v>
      </c>
      <c r="E14" s="110"/>
      <c r="F14" s="158" t="s">
        <v>177</v>
      </c>
      <c r="G14" s="158"/>
      <c r="H14" s="158"/>
      <c r="I14" s="17" t="s">
        <v>26</v>
      </c>
      <c r="J14" s="17"/>
      <c r="K14" s="172" t="s">
        <v>210</v>
      </c>
      <c r="L14" s="172"/>
      <c r="M14" s="172"/>
      <c r="N14" s="17"/>
      <c r="O14" s="19">
        <f t="shared" si="3"/>
        <v>45971</v>
      </c>
      <c r="P14" s="74"/>
      <c r="Q14" s="184" t="s">
        <v>109</v>
      </c>
      <c r="R14" s="184"/>
      <c r="S14" s="74" t="s">
        <v>162</v>
      </c>
      <c r="T14" s="74"/>
      <c r="U14" s="74"/>
      <c r="V14" s="172" t="s">
        <v>210</v>
      </c>
      <c r="W14" s="172"/>
      <c r="X14" s="172"/>
      <c r="Y14" s="74"/>
      <c r="Z14" s="19">
        <f t="shared" si="4"/>
        <v>45972</v>
      </c>
      <c r="AA14" s="176" t="s">
        <v>54</v>
      </c>
      <c r="AB14" s="176"/>
      <c r="AC14" s="176"/>
      <c r="AD14" s="176"/>
      <c r="AE14" s="176"/>
      <c r="AF14" s="176"/>
      <c r="AG14" s="176"/>
      <c r="AH14" s="176"/>
      <c r="AI14" s="176"/>
      <c r="AJ14" s="176"/>
      <c r="AK14" s="19">
        <f t="shared" si="5"/>
        <v>45973</v>
      </c>
      <c r="AM14" s="164" t="s">
        <v>201</v>
      </c>
      <c r="AN14" s="164"/>
      <c r="AP14" s="113" t="s">
        <v>26</v>
      </c>
      <c r="AQ14" s="169" t="s">
        <v>33</v>
      </c>
      <c r="AR14" s="169"/>
      <c r="AS14" s="169"/>
      <c r="AT14" s="169"/>
      <c r="AU14" s="169"/>
      <c r="AV14" s="19">
        <f t="shared" si="6"/>
        <v>45974</v>
      </c>
      <c r="AW14" s="113" t="s">
        <v>167</v>
      </c>
      <c r="AX14" s="178" t="s">
        <v>64</v>
      </c>
      <c r="AY14" s="179"/>
      <c r="AZ14" s="179"/>
      <c r="BA14" s="179"/>
      <c r="BB14" s="17"/>
      <c r="BC14" s="172" t="s">
        <v>210</v>
      </c>
      <c r="BD14" s="172"/>
      <c r="BE14" s="172"/>
      <c r="BF14" s="124"/>
      <c r="BH14" s="174" t="s">
        <v>140</v>
      </c>
      <c r="BI14" s="174"/>
      <c r="BJ14" s="174"/>
    </row>
    <row r="15" spans="1:66" ht="60" customHeight="1" x14ac:dyDescent="0.25">
      <c r="A15" s="15">
        <f t="shared" si="2"/>
        <v>45977</v>
      </c>
      <c r="B15" s="15">
        <f t="shared" si="1"/>
        <v>45981</v>
      </c>
      <c r="C15" s="23"/>
      <c r="D15" s="24">
        <f t="shared" si="0"/>
        <v>45977</v>
      </c>
      <c r="E15" s="158" t="s">
        <v>177</v>
      </c>
      <c r="F15" s="158"/>
      <c r="G15" s="158"/>
      <c r="H15" s="158"/>
      <c r="I15" s="17" t="s">
        <v>26</v>
      </c>
      <c r="J15" s="17"/>
      <c r="K15" s="172" t="s">
        <v>210</v>
      </c>
      <c r="L15" s="172"/>
      <c r="M15" s="172"/>
      <c r="N15" s="17"/>
      <c r="O15" s="19">
        <f t="shared" si="3"/>
        <v>45978</v>
      </c>
      <c r="P15" s="17"/>
      <c r="Q15" s="184" t="s">
        <v>129</v>
      </c>
      <c r="R15" s="211"/>
      <c r="S15" s="17" t="s">
        <v>162</v>
      </c>
      <c r="T15" s="17"/>
      <c r="U15" s="17"/>
      <c r="V15" s="172" t="s">
        <v>210</v>
      </c>
      <c r="W15" s="172"/>
      <c r="X15" s="172"/>
      <c r="Y15" s="17"/>
      <c r="Z15" s="19">
        <f t="shared" si="4"/>
        <v>45979</v>
      </c>
      <c r="AA15" s="169" t="s">
        <v>165</v>
      </c>
      <c r="AB15" s="169"/>
      <c r="AC15" s="169"/>
      <c r="AD15" s="110" t="s">
        <v>26</v>
      </c>
      <c r="AE15" s="110"/>
      <c r="AF15" s="110" t="s">
        <v>26</v>
      </c>
      <c r="AG15" s="210" t="s">
        <v>208</v>
      </c>
      <c r="AH15" s="210"/>
      <c r="AI15" s="183"/>
      <c r="AJ15" s="183"/>
      <c r="AK15" s="19">
        <f t="shared" si="5"/>
        <v>45980</v>
      </c>
      <c r="AL15" s="74" t="s">
        <v>167</v>
      </c>
      <c r="AM15" s="164" t="s">
        <v>145</v>
      </c>
      <c r="AN15" s="164"/>
      <c r="AO15" s="17" t="s">
        <v>26</v>
      </c>
      <c r="AP15" s="169" t="s">
        <v>33</v>
      </c>
      <c r="AQ15" s="169"/>
      <c r="AR15" s="169"/>
      <c r="AS15" s="169"/>
      <c r="AT15" s="169"/>
      <c r="AU15" s="55" t="s">
        <v>77</v>
      </c>
      <c r="AV15" s="19">
        <f t="shared" si="6"/>
        <v>45981</v>
      </c>
      <c r="AW15" s="113" t="s">
        <v>167</v>
      </c>
      <c r="AX15" s="158" t="s">
        <v>35</v>
      </c>
      <c r="AY15" s="163"/>
      <c r="AZ15" s="163"/>
      <c r="BA15" s="163"/>
      <c r="BB15" s="17"/>
      <c r="BC15" s="171" t="s">
        <v>68</v>
      </c>
      <c r="BD15" s="171"/>
      <c r="BE15" s="171"/>
      <c r="BF15" s="124"/>
    </row>
    <row r="16" spans="1:66" ht="72" customHeight="1" x14ac:dyDescent="0.25">
      <c r="A16" s="15">
        <f t="shared" si="2"/>
        <v>45984</v>
      </c>
      <c r="B16" s="15">
        <f t="shared" si="1"/>
        <v>45988</v>
      </c>
      <c r="C16" s="26" t="s">
        <v>39</v>
      </c>
      <c r="D16" s="24">
        <f t="shared" si="0"/>
        <v>45984</v>
      </c>
      <c r="F16" s="170" t="s">
        <v>198</v>
      </c>
      <c r="G16" s="170"/>
      <c r="H16" s="170"/>
      <c r="I16" s="17"/>
      <c r="J16" s="17"/>
      <c r="K16" s="172" t="s">
        <v>210</v>
      </c>
      <c r="L16" s="172"/>
      <c r="M16" s="172"/>
      <c r="N16" s="17"/>
      <c r="O16" s="19">
        <f t="shared" si="3"/>
        <v>45985</v>
      </c>
      <c r="P16" s="17"/>
      <c r="Q16" s="184" t="s">
        <v>110</v>
      </c>
      <c r="R16" s="184"/>
      <c r="S16" s="184"/>
      <c r="T16" s="17" t="s">
        <v>162</v>
      </c>
      <c r="U16" s="17"/>
      <c r="V16" s="184" t="s">
        <v>128</v>
      </c>
      <c r="W16" s="184"/>
      <c r="X16" s="184"/>
      <c r="Y16" s="113" t="s">
        <v>162</v>
      </c>
      <c r="Z16" s="19">
        <f t="shared" si="4"/>
        <v>45986</v>
      </c>
      <c r="AA16" s="169" t="s">
        <v>165</v>
      </c>
      <c r="AB16" s="169"/>
      <c r="AC16" s="169"/>
      <c r="AD16" s="169"/>
      <c r="AE16" s="110" t="s">
        <v>26</v>
      </c>
      <c r="AG16" s="160" t="s">
        <v>86</v>
      </c>
      <c r="AH16" s="187"/>
      <c r="AI16" s="187"/>
      <c r="AJ16" s="83"/>
      <c r="AK16" s="19">
        <f t="shared" si="5"/>
        <v>45987</v>
      </c>
      <c r="AL16" s="207" t="s">
        <v>173</v>
      </c>
      <c r="AM16" s="207"/>
      <c r="AN16" s="207"/>
      <c r="AO16" s="207"/>
      <c r="AP16" s="17" t="s">
        <v>183</v>
      </c>
      <c r="AQ16" s="164" t="s">
        <v>53</v>
      </c>
      <c r="AR16" s="164"/>
      <c r="AS16" s="164" t="s">
        <v>101</v>
      </c>
      <c r="AT16" s="164"/>
      <c r="AU16" s="55" t="s">
        <v>77</v>
      </c>
      <c r="AV16" s="19">
        <f t="shared" si="6"/>
        <v>45988</v>
      </c>
      <c r="AW16" s="113" t="s">
        <v>167</v>
      </c>
      <c r="AX16" s="158" t="s">
        <v>35</v>
      </c>
      <c r="AY16" s="163"/>
      <c r="AZ16" s="163"/>
      <c r="BA16" s="163"/>
      <c r="BB16" s="17"/>
      <c r="BC16" s="171" t="s">
        <v>68</v>
      </c>
      <c r="BD16" s="171"/>
      <c r="BE16" s="171"/>
      <c r="BF16" s="123" t="s">
        <v>39</v>
      </c>
    </row>
    <row r="17" spans="1:66" ht="69" customHeight="1" x14ac:dyDescent="0.25">
      <c r="A17" s="15">
        <f t="shared" si="2"/>
        <v>45991</v>
      </c>
      <c r="B17" s="15">
        <f t="shared" si="1"/>
        <v>45995</v>
      </c>
      <c r="C17" s="28"/>
      <c r="D17" s="24">
        <f t="shared" si="0"/>
        <v>45991</v>
      </c>
      <c r="E17" s="17"/>
      <c r="F17" s="170" t="s">
        <v>209</v>
      </c>
      <c r="G17" s="170"/>
      <c r="H17" s="170"/>
      <c r="I17" s="17"/>
      <c r="J17" s="17"/>
      <c r="K17" s="172" t="s">
        <v>210</v>
      </c>
      <c r="L17" s="172"/>
      <c r="M17" s="172"/>
      <c r="N17" s="17"/>
      <c r="O17" s="19">
        <f t="shared" si="3"/>
        <v>45992</v>
      </c>
      <c r="Q17" s="184" t="s">
        <v>141</v>
      </c>
      <c r="R17" s="184"/>
      <c r="S17" s="113" t="s">
        <v>162</v>
      </c>
      <c r="V17" s="172" t="s">
        <v>210</v>
      </c>
      <c r="W17" s="172"/>
      <c r="X17" s="172"/>
      <c r="Z17" s="19">
        <f t="shared" si="4"/>
        <v>45993</v>
      </c>
      <c r="AA17" s="26"/>
      <c r="AB17" s="185" t="s">
        <v>159</v>
      </c>
      <c r="AC17" s="186"/>
      <c r="AD17" s="109"/>
      <c r="AE17" s="185" t="s">
        <v>120</v>
      </c>
      <c r="AF17" s="186"/>
      <c r="AG17" s="26"/>
      <c r="AH17" s="26"/>
      <c r="AI17" s="26"/>
      <c r="AJ17" s="26"/>
      <c r="AK17" s="19">
        <f t="shared" si="5"/>
        <v>45994</v>
      </c>
      <c r="AL17" s="26"/>
      <c r="AM17" s="158" t="s">
        <v>175</v>
      </c>
      <c r="AN17" s="158"/>
      <c r="AO17" s="158"/>
      <c r="AP17" s="26"/>
      <c r="AQ17" s="26"/>
      <c r="AR17" s="158" t="s">
        <v>202</v>
      </c>
      <c r="AS17" s="158"/>
      <c r="AT17" s="26"/>
      <c r="AU17" s="26"/>
      <c r="AV17" s="19">
        <f t="shared" si="6"/>
        <v>45995</v>
      </c>
      <c r="AW17" s="113" t="s">
        <v>167</v>
      </c>
      <c r="AX17" s="158" t="s">
        <v>35</v>
      </c>
      <c r="AY17" s="163"/>
      <c r="AZ17" s="163"/>
      <c r="BA17" s="163"/>
      <c r="BB17" s="17"/>
      <c r="BC17" s="171" t="s">
        <v>68</v>
      </c>
      <c r="BD17" s="171"/>
      <c r="BE17" s="171"/>
      <c r="BF17" s="52"/>
      <c r="BG17" s="138"/>
      <c r="BH17" s="138"/>
      <c r="BI17" s="138"/>
      <c r="BJ17" s="138"/>
      <c r="BK17" s="138"/>
      <c r="BL17" s="138"/>
      <c r="BM17" s="138"/>
      <c r="BN17" s="138"/>
    </row>
    <row r="18" spans="1:66" ht="94.15" customHeight="1" x14ac:dyDescent="0.25">
      <c r="A18" s="15">
        <f t="shared" si="2"/>
        <v>45998</v>
      </c>
      <c r="B18" s="15">
        <f t="shared" si="1"/>
        <v>46002</v>
      </c>
      <c r="C18" s="28"/>
      <c r="D18" s="24">
        <f t="shared" si="0"/>
        <v>45998</v>
      </c>
      <c r="E18" s="17"/>
      <c r="F18" s="172" t="s">
        <v>210</v>
      </c>
      <c r="G18" s="172"/>
      <c r="H18" s="172"/>
      <c r="I18" s="17"/>
      <c r="J18" s="17"/>
      <c r="K18" s="172" t="s">
        <v>210</v>
      </c>
      <c r="L18" s="172"/>
      <c r="M18" s="172"/>
      <c r="N18" s="17"/>
      <c r="O18" s="19">
        <f t="shared" si="3"/>
        <v>45999</v>
      </c>
      <c r="P18" s="164" t="s">
        <v>121</v>
      </c>
      <c r="Q18" s="164"/>
      <c r="R18" s="164"/>
      <c r="S18" s="164"/>
      <c r="T18" s="17" t="s">
        <v>167</v>
      </c>
      <c r="U18" s="17" t="s">
        <v>167</v>
      </c>
      <c r="V18" s="164" t="s">
        <v>123</v>
      </c>
      <c r="W18" s="164"/>
      <c r="X18" s="164"/>
      <c r="Y18" s="164"/>
      <c r="Z18" s="19">
        <f t="shared" si="4"/>
        <v>46000</v>
      </c>
      <c r="AA18" s="17" t="s">
        <v>167</v>
      </c>
      <c r="AB18" s="188" t="s">
        <v>144</v>
      </c>
      <c r="AC18" s="188"/>
      <c r="AD18" s="188"/>
      <c r="AE18" s="188"/>
      <c r="AF18" s="17" t="s">
        <v>167</v>
      </c>
      <c r="AG18" s="188" t="s">
        <v>199</v>
      </c>
      <c r="AH18" s="188"/>
      <c r="AI18" s="188"/>
      <c r="AJ18" s="188"/>
      <c r="AK18" s="19">
        <f t="shared" si="5"/>
        <v>46001</v>
      </c>
      <c r="AL18" s="113" t="s">
        <v>167</v>
      </c>
      <c r="AM18" s="169" t="s">
        <v>76</v>
      </c>
      <c r="AN18" s="169"/>
      <c r="AO18" s="169"/>
      <c r="AQ18" s="207" t="s">
        <v>173</v>
      </c>
      <c r="AR18" s="207"/>
      <c r="AS18" s="207"/>
      <c r="AT18" s="207"/>
      <c r="AV18" s="19">
        <f t="shared" si="6"/>
        <v>46002</v>
      </c>
      <c r="AW18" s="113" t="s">
        <v>167</v>
      </c>
      <c r="AX18" s="158" t="s">
        <v>35</v>
      </c>
      <c r="AY18" s="163"/>
      <c r="AZ18" s="163"/>
      <c r="BA18" s="163"/>
      <c r="BB18" s="17"/>
      <c r="BC18" s="171" t="s">
        <v>68</v>
      </c>
      <c r="BD18" s="171"/>
      <c r="BE18" s="171"/>
      <c r="BF18" s="52"/>
      <c r="BG18" s="138"/>
      <c r="BH18" s="138"/>
      <c r="BI18" s="138"/>
      <c r="BJ18" s="138"/>
      <c r="BK18" s="138"/>
      <c r="BL18" s="138"/>
      <c r="BM18" s="138"/>
      <c r="BN18" s="138"/>
    </row>
    <row r="19" spans="1:66" ht="80.25" customHeight="1" x14ac:dyDescent="0.25">
      <c r="A19" s="15">
        <f t="shared" si="2"/>
        <v>46005</v>
      </c>
      <c r="B19" s="15">
        <f t="shared" si="1"/>
        <v>46009</v>
      </c>
      <c r="D19" s="24">
        <f t="shared" si="0"/>
        <v>46005</v>
      </c>
      <c r="E19" s="17"/>
      <c r="F19" s="172" t="s">
        <v>210</v>
      </c>
      <c r="G19" s="172"/>
      <c r="H19" s="172"/>
      <c r="I19" s="17"/>
      <c r="J19" s="17"/>
      <c r="K19" s="172" t="s">
        <v>210</v>
      </c>
      <c r="L19" s="172"/>
      <c r="M19" s="172"/>
      <c r="N19" s="17"/>
      <c r="O19" s="19">
        <f t="shared" si="3"/>
        <v>46006</v>
      </c>
      <c r="P19" s="164" t="s">
        <v>193</v>
      </c>
      <c r="Q19" s="164"/>
      <c r="R19" s="164"/>
      <c r="S19" s="164"/>
      <c r="T19" s="17" t="s">
        <v>162</v>
      </c>
      <c r="U19" s="17" t="s">
        <v>162</v>
      </c>
      <c r="V19" s="164" t="s">
        <v>194</v>
      </c>
      <c r="W19" s="164"/>
      <c r="X19" s="164"/>
      <c r="Y19" s="164"/>
      <c r="Z19" s="19">
        <f t="shared" si="4"/>
        <v>46007</v>
      </c>
      <c r="AA19" s="110" t="s">
        <v>162</v>
      </c>
      <c r="AB19" s="188" t="s">
        <v>195</v>
      </c>
      <c r="AC19" s="188"/>
      <c r="AD19" s="188"/>
      <c r="AE19" s="188"/>
      <c r="AG19" s="169" t="s">
        <v>86</v>
      </c>
      <c r="AH19" s="190"/>
      <c r="AI19" s="190"/>
      <c r="AJ19" s="54"/>
      <c r="AK19" s="19">
        <f t="shared" si="5"/>
        <v>46008</v>
      </c>
      <c r="AL19" s="113" t="s">
        <v>167</v>
      </c>
      <c r="AM19" s="160" t="s">
        <v>206</v>
      </c>
      <c r="AN19" s="187"/>
      <c r="AO19" s="187"/>
      <c r="AR19" s="160" t="s">
        <v>207</v>
      </c>
      <c r="AS19" s="187"/>
      <c r="AT19" s="187"/>
      <c r="AU19" s="113" t="s">
        <v>167</v>
      </c>
      <c r="AV19" s="19">
        <f t="shared" si="6"/>
        <v>46009</v>
      </c>
      <c r="AW19" s="113" t="s">
        <v>167</v>
      </c>
      <c r="AX19" s="158" t="s">
        <v>35</v>
      </c>
      <c r="AY19" s="163"/>
      <c r="AZ19" s="163"/>
      <c r="BA19" s="163"/>
      <c r="BB19" s="17"/>
      <c r="BF19" s="52"/>
      <c r="BG19" s="58" t="s">
        <v>111</v>
      </c>
    </row>
    <row r="20" spans="1:66" ht="29.25" customHeight="1" x14ac:dyDescent="0.25">
      <c r="A20" s="15">
        <f t="shared" si="2"/>
        <v>46012</v>
      </c>
      <c r="B20" s="15">
        <f t="shared" si="1"/>
        <v>46016</v>
      </c>
      <c r="D20" s="24">
        <f t="shared" si="0"/>
        <v>46012</v>
      </c>
      <c r="E20" s="176" t="s">
        <v>44</v>
      </c>
      <c r="F20" s="176"/>
      <c r="G20" s="176"/>
      <c r="H20" s="176"/>
      <c r="I20" s="176"/>
      <c r="J20" s="176" t="s">
        <v>44</v>
      </c>
      <c r="K20" s="176"/>
      <c r="L20" s="176"/>
      <c r="M20" s="176"/>
      <c r="N20" s="176"/>
      <c r="O20" s="19">
        <f t="shared" si="3"/>
        <v>46013</v>
      </c>
      <c r="P20" s="176" t="s">
        <v>44</v>
      </c>
      <c r="Q20" s="176"/>
      <c r="R20" s="176"/>
      <c r="S20" s="176"/>
      <c r="T20" s="176"/>
      <c r="U20" s="176" t="s">
        <v>44</v>
      </c>
      <c r="V20" s="176"/>
      <c r="W20" s="176"/>
      <c r="X20" s="176"/>
      <c r="Y20" s="176"/>
      <c r="Z20" s="19">
        <f t="shared" si="4"/>
        <v>46014</v>
      </c>
      <c r="AA20" s="176" t="s">
        <v>44</v>
      </c>
      <c r="AB20" s="176"/>
      <c r="AC20" s="176"/>
      <c r="AD20" s="176"/>
      <c r="AE20" s="176"/>
      <c r="AF20" s="176" t="s">
        <v>44</v>
      </c>
      <c r="AG20" s="176"/>
      <c r="AH20" s="176"/>
      <c r="AI20" s="176"/>
      <c r="AJ20" s="176"/>
      <c r="AK20" s="19">
        <f t="shared" si="5"/>
        <v>46015</v>
      </c>
      <c r="AL20" s="176" t="s">
        <v>44</v>
      </c>
      <c r="AM20" s="176"/>
      <c r="AN20" s="176"/>
      <c r="AO20" s="176"/>
      <c r="AP20" s="176"/>
      <c r="AQ20" s="176" t="s">
        <v>44</v>
      </c>
      <c r="AR20" s="176"/>
      <c r="AS20" s="176"/>
      <c r="AT20" s="176"/>
      <c r="AU20" s="176"/>
      <c r="AV20" s="19">
        <f t="shared" si="6"/>
        <v>46016</v>
      </c>
      <c r="AW20" s="176" t="s">
        <v>44</v>
      </c>
      <c r="AX20" s="176"/>
      <c r="AY20" s="176"/>
      <c r="AZ20" s="176"/>
      <c r="BA20" s="176"/>
      <c r="BB20" s="176"/>
      <c r="BC20" s="176"/>
      <c r="BD20" s="176"/>
      <c r="BE20" s="176"/>
      <c r="BF20" s="52"/>
    </row>
    <row r="21" spans="1:66" ht="32.25" customHeight="1" x14ac:dyDescent="0.25">
      <c r="A21" s="15">
        <f t="shared" si="2"/>
        <v>46019</v>
      </c>
      <c r="B21" s="15">
        <f t="shared" si="1"/>
        <v>46023</v>
      </c>
      <c r="D21" s="24">
        <f t="shared" si="0"/>
        <v>46019</v>
      </c>
      <c r="E21" s="176" t="s">
        <v>44</v>
      </c>
      <c r="F21" s="176"/>
      <c r="G21" s="176"/>
      <c r="H21" s="176"/>
      <c r="I21" s="176"/>
      <c r="J21" s="176" t="s">
        <v>44</v>
      </c>
      <c r="K21" s="176"/>
      <c r="L21" s="176"/>
      <c r="M21" s="176"/>
      <c r="N21" s="176"/>
      <c r="O21" s="19">
        <f t="shared" si="3"/>
        <v>46020</v>
      </c>
      <c r="P21" s="176" t="s">
        <v>44</v>
      </c>
      <c r="Q21" s="176"/>
      <c r="R21" s="176"/>
      <c r="S21" s="176"/>
      <c r="T21" s="176"/>
      <c r="U21" s="176" t="s">
        <v>44</v>
      </c>
      <c r="V21" s="176"/>
      <c r="W21" s="176"/>
      <c r="X21" s="176"/>
      <c r="Y21" s="176"/>
      <c r="Z21" s="19">
        <f t="shared" si="4"/>
        <v>46021</v>
      </c>
      <c r="AA21" s="176" t="s">
        <v>44</v>
      </c>
      <c r="AB21" s="176"/>
      <c r="AC21" s="176"/>
      <c r="AD21" s="176"/>
      <c r="AE21" s="176"/>
      <c r="AF21" s="176" t="s">
        <v>44</v>
      </c>
      <c r="AG21" s="176"/>
      <c r="AH21" s="176"/>
      <c r="AI21" s="176"/>
      <c r="AJ21" s="176"/>
      <c r="AK21" s="19">
        <f t="shared" si="5"/>
        <v>46022</v>
      </c>
      <c r="AL21" s="176" t="s">
        <v>44</v>
      </c>
      <c r="AM21" s="176"/>
      <c r="AN21" s="176"/>
      <c r="AO21" s="176"/>
      <c r="AP21" s="176"/>
      <c r="AQ21" s="176" t="s">
        <v>44</v>
      </c>
      <c r="AR21" s="176"/>
      <c r="AS21" s="176"/>
      <c r="AT21" s="176"/>
      <c r="AU21" s="176"/>
      <c r="AV21" s="19">
        <f t="shared" si="6"/>
        <v>46023</v>
      </c>
      <c r="AW21" s="176" t="s">
        <v>44</v>
      </c>
      <c r="AX21" s="176"/>
      <c r="AY21" s="176"/>
      <c r="AZ21" s="176"/>
      <c r="BA21" s="176"/>
      <c r="BB21" s="176"/>
      <c r="BC21" s="176"/>
      <c r="BD21" s="176"/>
      <c r="BE21" s="176"/>
      <c r="BF21" s="52"/>
    </row>
    <row r="22" spans="1:66" ht="75.75" customHeight="1" x14ac:dyDescent="0.25">
      <c r="A22" s="15">
        <f t="shared" si="2"/>
        <v>46026</v>
      </c>
      <c r="B22" s="15">
        <f t="shared" si="1"/>
        <v>46030</v>
      </c>
      <c r="C22" s="26" t="s">
        <v>39</v>
      </c>
      <c r="D22" s="24">
        <f t="shared" si="0"/>
        <v>46026</v>
      </c>
      <c r="E22" s="17"/>
      <c r="F22" s="184" t="s">
        <v>131</v>
      </c>
      <c r="G22" s="184"/>
      <c r="H22" s="184"/>
      <c r="I22" s="184"/>
      <c r="J22" s="184"/>
      <c r="K22" s="184"/>
      <c r="L22" s="184"/>
      <c r="M22" s="184"/>
      <c r="N22" s="17" t="s">
        <v>162</v>
      </c>
      <c r="O22" s="19">
        <f t="shared" si="3"/>
        <v>46027</v>
      </c>
      <c r="Q22" s="184" t="s">
        <v>131</v>
      </c>
      <c r="R22" s="184"/>
      <c r="S22" s="184"/>
      <c r="T22" s="184"/>
      <c r="U22" s="184"/>
      <c r="V22" s="17" t="s">
        <v>162</v>
      </c>
      <c r="W22" s="172" t="s">
        <v>210</v>
      </c>
      <c r="X22" s="172"/>
      <c r="Y22" s="172"/>
      <c r="Z22" s="19">
        <f t="shared" si="4"/>
        <v>46028</v>
      </c>
      <c r="AA22" s="84"/>
      <c r="AB22" s="172" t="s">
        <v>210</v>
      </c>
      <c r="AC22" s="172"/>
      <c r="AD22" s="172"/>
      <c r="AE22" s="84"/>
      <c r="AF22" s="84"/>
      <c r="AG22" s="172" t="s">
        <v>210</v>
      </c>
      <c r="AH22" s="172"/>
      <c r="AI22" s="172"/>
      <c r="AJ22" s="84"/>
      <c r="AK22" s="19">
        <f t="shared" si="5"/>
        <v>46029</v>
      </c>
      <c r="AL22" s="84"/>
      <c r="AM22" s="158" t="s">
        <v>203</v>
      </c>
      <c r="AN22" s="158"/>
      <c r="AO22" s="158"/>
      <c r="AP22" s="26"/>
      <c r="AQ22" s="26"/>
      <c r="AR22" s="158" t="s">
        <v>204</v>
      </c>
      <c r="AS22" s="158"/>
      <c r="AT22" s="84"/>
      <c r="AU22" s="84"/>
      <c r="AV22" s="19">
        <f t="shared" si="6"/>
        <v>46030</v>
      </c>
      <c r="AW22" s="191" t="s">
        <v>138</v>
      </c>
      <c r="AX22" s="191"/>
      <c r="AY22" s="191"/>
      <c r="AZ22" s="191"/>
      <c r="BA22" s="191"/>
      <c r="BB22" s="191"/>
      <c r="BC22" s="191"/>
      <c r="BD22" s="191"/>
      <c r="BE22" s="191"/>
      <c r="BF22" s="123" t="s">
        <v>39</v>
      </c>
      <c r="BJ22" s="184" t="s">
        <v>178</v>
      </c>
      <c r="BK22" s="184"/>
      <c r="BL22" s="184"/>
      <c r="BM22" s="212"/>
    </row>
    <row r="23" spans="1:66" ht="107.25" customHeight="1" x14ac:dyDescent="0.25">
      <c r="A23" s="15">
        <f t="shared" si="2"/>
        <v>46033</v>
      </c>
      <c r="B23" s="15">
        <f t="shared" si="1"/>
        <v>46037</v>
      </c>
      <c r="C23" s="28"/>
      <c r="D23" s="24">
        <f t="shared" si="0"/>
        <v>46033</v>
      </c>
      <c r="E23" s="17"/>
      <c r="F23" s="191" t="s">
        <v>138</v>
      </c>
      <c r="G23" s="191"/>
      <c r="H23" s="191"/>
      <c r="I23" s="191"/>
      <c r="J23" s="191"/>
      <c r="K23" s="191"/>
      <c r="L23" s="191"/>
      <c r="M23" s="191"/>
      <c r="N23" s="191"/>
      <c r="O23" s="19">
        <f t="shared" si="3"/>
        <v>46034</v>
      </c>
      <c r="P23" s="17"/>
      <c r="Q23" s="191" t="s">
        <v>138</v>
      </c>
      <c r="R23" s="191"/>
      <c r="S23" s="191"/>
      <c r="T23" s="191"/>
      <c r="U23" s="191"/>
      <c r="V23" s="191"/>
      <c r="W23" s="191"/>
      <c r="X23" s="191"/>
      <c r="Y23" s="191"/>
      <c r="Z23" s="19">
        <f t="shared" si="4"/>
        <v>46035</v>
      </c>
      <c r="AA23" s="85" t="s">
        <v>162</v>
      </c>
      <c r="AB23" s="169" t="s">
        <v>107</v>
      </c>
      <c r="AC23" s="190"/>
      <c r="AD23" s="190"/>
      <c r="AE23" s="53"/>
      <c r="AF23" s="53"/>
      <c r="AG23" s="169" t="s">
        <v>108</v>
      </c>
      <c r="AH23" s="190"/>
      <c r="AI23" s="190"/>
      <c r="AJ23" s="85" t="s">
        <v>162</v>
      </c>
      <c r="AK23" s="19">
        <f t="shared" si="5"/>
        <v>46036</v>
      </c>
      <c r="AL23" s="85" t="s">
        <v>26</v>
      </c>
      <c r="AM23" s="207" t="s">
        <v>173</v>
      </c>
      <c r="AN23" s="207"/>
      <c r="AO23" s="207"/>
      <c r="AP23" s="207"/>
      <c r="AQ23" s="85"/>
      <c r="AR23" s="169" t="s">
        <v>197</v>
      </c>
      <c r="AS23" s="169"/>
      <c r="AT23" s="85" t="s">
        <v>26</v>
      </c>
      <c r="AU23" s="85"/>
      <c r="AV23" s="19">
        <f t="shared" si="6"/>
        <v>46037</v>
      </c>
      <c r="AW23" s="191" t="s">
        <v>138</v>
      </c>
      <c r="AX23" s="191"/>
      <c r="AY23" s="191"/>
      <c r="AZ23" s="191"/>
      <c r="BA23" s="191"/>
      <c r="BB23" s="191"/>
      <c r="BC23" s="191"/>
      <c r="BD23" s="191"/>
      <c r="BE23" s="191"/>
      <c r="BF23" s="52"/>
      <c r="BJ23" s="184" t="s">
        <v>91</v>
      </c>
      <c r="BK23" s="184"/>
      <c r="BL23" s="184"/>
      <c r="BM23" s="212"/>
    </row>
    <row r="24" spans="1:66" ht="101.25" customHeight="1" x14ac:dyDescent="0.25">
      <c r="A24" s="15">
        <f t="shared" si="2"/>
        <v>46040</v>
      </c>
      <c r="B24" s="15">
        <f t="shared" si="1"/>
        <v>46044</v>
      </c>
      <c r="D24" s="24">
        <f t="shared" si="0"/>
        <v>46040</v>
      </c>
      <c r="E24" s="17"/>
      <c r="F24" s="191" t="s">
        <v>138</v>
      </c>
      <c r="G24" s="191"/>
      <c r="H24" s="191"/>
      <c r="I24" s="191"/>
      <c r="J24" s="191"/>
      <c r="K24" s="191"/>
      <c r="L24" s="191"/>
      <c r="M24" s="191"/>
      <c r="N24" s="191"/>
      <c r="O24" s="19">
        <f t="shared" si="3"/>
        <v>46041</v>
      </c>
      <c r="P24" s="17"/>
      <c r="Q24" s="191" t="s">
        <v>138</v>
      </c>
      <c r="R24" s="191"/>
      <c r="S24" s="191"/>
      <c r="T24" s="191"/>
      <c r="U24" s="191"/>
      <c r="V24" s="191"/>
      <c r="W24" s="191"/>
      <c r="X24" s="191"/>
      <c r="Y24" s="191"/>
      <c r="Z24" s="19">
        <f t="shared" si="4"/>
        <v>46042</v>
      </c>
      <c r="AA24" s="85"/>
      <c r="AB24" s="85"/>
      <c r="AC24" s="85"/>
      <c r="AD24" s="85"/>
      <c r="AE24" s="85"/>
      <c r="AF24" s="196" t="s">
        <v>158</v>
      </c>
      <c r="AG24" s="196"/>
      <c r="AH24" s="196"/>
      <c r="AI24" s="196"/>
      <c r="AJ24" s="196"/>
      <c r="AK24" s="19">
        <f t="shared" si="5"/>
        <v>46043</v>
      </c>
      <c r="AL24" s="86"/>
      <c r="AM24" s="197" t="s">
        <v>171</v>
      </c>
      <c r="AN24" s="197"/>
      <c r="AO24" s="197"/>
      <c r="AP24" s="197"/>
      <c r="AQ24" s="197"/>
      <c r="AR24" s="111" t="s">
        <v>183</v>
      </c>
      <c r="AS24" s="197" t="s">
        <v>170</v>
      </c>
      <c r="AT24" s="197"/>
      <c r="AU24" s="197"/>
      <c r="AV24" s="19">
        <f t="shared" si="6"/>
        <v>46044</v>
      </c>
      <c r="AW24" s="191" t="s">
        <v>138</v>
      </c>
      <c r="AX24" s="191"/>
      <c r="AY24" s="191"/>
      <c r="AZ24" s="191"/>
      <c r="BA24" s="191"/>
      <c r="BB24" s="191"/>
      <c r="BC24" s="191"/>
      <c r="BD24" s="191"/>
      <c r="BE24" s="191"/>
      <c r="BF24" s="52"/>
      <c r="BH24"/>
    </row>
    <row r="25" spans="1:66" ht="106.5" customHeight="1" thickBot="1" x14ac:dyDescent="0.3">
      <c r="A25" s="15">
        <f t="shared" si="2"/>
        <v>46047</v>
      </c>
      <c r="B25" s="15">
        <f t="shared" si="1"/>
        <v>46051</v>
      </c>
      <c r="D25" s="24">
        <f t="shared" si="0"/>
        <v>46047</v>
      </c>
      <c r="E25" s="192" t="s">
        <v>138</v>
      </c>
      <c r="F25" s="192"/>
      <c r="G25" s="192"/>
      <c r="H25" s="192"/>
      <c r="I25" s="192"/>
      <c r="J25" s="192"/>
      <c r="K25" s="192"/>
      <c r="L25" s="192"/>
      <c r="M25" s="192"/>
      <c r="N25" s="192"/>
      <c r="O25" s="19">
        <f t="shared" si="3"/>
        <v>46048</v>
      </c>
      <c r="P25" s="192" t="s">
        <v>138</v>
      </c>
      <c r="Q25" s="192"/>
      <c r="R25" s="192"/>
      <c r="S25" s="192"/>
      <c r="T25" s="192"/>
      <c r="U25" s="192"/>
      <c r="V25" s="192"/>
      <c r="W25" s="192"/>
      <c r="X25" s="192"/>
      <c r="Y25" s="192"/>
      <c r="Z25" s="19">
        <f t="shared" si="4"/>
        <v>46049</v>
      </c>
      <c r="AA25" s="213" t="s">
        <v>172</v>
      </c>
      <c r="AB25" s="213"/>
      <c r="AC25" s="213"/>
      <c r="AD25" s="213"/>
      <c r="AE25" s="213"/>
      <c r="AF25" s="213" t="s">
        <v>127</v>
      </c>
      <c r="AG25" s="213"/>
      <c r="AH25" s="213"/>
      <c r="AI25" s="213"/>
      <c r="AJ25" s="213"/>
      <c r="AK25" s="19">
        <f>AK24+7</f>
        <v>46050</v>
      </c>
      <c r="AL25" s="195" t="s">
        <v>139</v>
      </c>
      <c r="AM25" s="195"/>
      <c r="AN25" s="195"/>
      <c r="AO25" s="195" t="s">
        <v>14</v>
      </c>
      <c r="AP25" s="195"/>
      <c r="AQ25" s="195" t="s">
        <v>118</v>
      </c>
      <c r="AR25" s="195"/>
      <c r="AS25" s="195"/>
      <c r="AT25" s="195"/>
      <c r="AU25" s="195"/>
      <c r="AV25" s="19">
        <f t="shared" si="6"/>
        <v>46051</v>
      </c>
      <c r="AW25" s="121"/>
      <c r="AX25" s="197" t="s">
        <v>88</v>
      </c>
      <c r="AY25" s="197"/>
      <c r="AZ25" s="197"/>
      <c r="BA25" s="197"/>
      <c r="BB25" s="121"/>
      <c r="BC25" s="121"/>
      <c r="BD25" s="121"/>
      <c r="BE25" s="121"/>
      <c r="BF25" s="52"/>
      <c r="BH25" s="61"/>
    </row>
    <row r="26" spans="1:66" ht="78.75" customHeight="1" x14ac:dyDescent="0.25">
      <c r="A26" s="15">
        <f t="shared" si="2"/>
        <v>46054</v>
      </c>
      <c r="B26" s="15">
        <f t="shared" si="1"/>
        <v>46058</v>
      </c>
      <c r="C26" s="23"/>
      <c r="D26" s="24">
        <f>A26</f>
        <v>46054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9">
        <f t="shared" si="3"/>
        <v>46055</v>
      </c>
      <c r="Z26" s="19">
        <f t="shared" si="4"/>
        <v>46056</v>
      </c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19">
        <f t="shared" si="5"/>
        <v>46057</v>
      </c>
      <c r="AL26" s="205"/>
      <c r="AM26" s="205"/>
      <c r="AN26" s="205"/>
      <c r="AO26" s="205"/>
      <c r="AP26" s="205"/>
      <c r="AQ26" s="205"/>
      <c r="AR26" s="205"/>
      <c r="AS26" s="205"/>
      <c r="AT26" s="205"/>
      <c r="AU26" s="205"/>
      <c r="AV26" s="19">
        <f t="shared" si="6"/>
        <v>46058</v>
      </c>
      <c r="AW26" s="191"/>
      <c r="AX26" s="191"/>
      <c r="AY26" s="191"/>
      <c r="AZ26" s="191"/>
      <c r="BA26" s="191"/>
      <c r="BB26" s="191"/>
      <c r="BC26" s="191"/>
      <c r="BD26" s="191"/>
      <c r="BE26" s="191"/>
      <c r="BF26" s="124"/>
    </row>
    <row r="27" spans="1:66" ht="106.9" customHeight="1" thickBot="1" x14ac:dyDescent="0.3">
      <c r="A27" s="15">
        <f>B26+3</f>
        <v>46061</v>
      </c>
      <c r="B27" s="15">
        <f t="shared" si="1"/>
        <v>46065</v>
      </c>
      <c r="C27" s="26" t="s">
        <v>39</v>
      </c>
      <c r="D27" s="30">
        <f t="shared" si="0"/>
        <v>46061</v>
      </c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56">
        <f>O26+7</f>
        <v>46062</v>
      </c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56">
        <f>Z26+7</f>
        <v>46063</v>
      </c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56">
        <f>AK26+7</f>
        <v>46064</v>
      </c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56">
        <f>AV26+7</f>
        <v>46065</v>
      </c>
      <c r="AW27" s="200"/>
      <c r="AX27" s="200"/>
      <c r="AY27" s="200"/>
      <c r="AZ27" s="200"/>
      <c r="BA27" s="200"/>
      <c r="BB27" s="200"/>
      <c r="BC27" s="200"/>
      <c r="BD27" s="200"/>
      <c r="BE27" s="122"/>
      <c r="BF27" s="125"/>
    </row>
    <row r="28" spans="1:66" x14ac:dyDescent="0.25">
      <c r="A28" s="33"/>
      <c r="B28" s="33"/>
      <c r="C28" s="110"/>
      <c r="D28" s="34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34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34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34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34"/>
      <c r="AW28" s="110"/>
      <c r="BF28" s="23"/>
    </row>
    <row r="29" spans="1:66" x14ac:dyDescent="0.25">
      <c r="A29" s="110"/>
      <c r="B29" s="110"/>
      <c r="C29" s="110"/>
      <c r="D29" s="4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201" t="s">
        <v>87</v>
      </c>
      <c r="AG29" s="201"/>
      <c r="AH29" s="201"/>
      <c r="AI29" s="201"/>
      <c r="AJ29" s="201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</row>
    <row r="30" spans="1:66" x14ac:dyDescent="0.25">
      <c r="AL30" s="35"/>
      <c r="AM30" s="35"/>
      <c r="AN30" s="35"/>
      <c r="AO30" s="36" t="s">
        <v>12</v>
      </c>
    </row>
    <row r="31" spans="1:66" x14ac:dyDescent="0.25">
      <c r="U31" s="37"/>
      <c r="V31" s="37"/>
      <c r="W31" s="38"/>
      <c r="X31" s="39" t="s">
        <v>12</v>
      </c>
      <c r="Y31" s="17"/>
      <c r="AL31" s="40"/>
      <c r="AM31" s="40"/>
      <c r="AN31" s="40"/>
      <c r="AO31" s="41" t="s">
        <v>6</v>
      </c>
      <c r="BE31" s="17"/>
      <c r="BF31" s="17"/>
      <c r="BG31" s="17"/>
      <c r="BH31" s="17"/>
      <c r="BI31" s="17"/>
    </row>
    <row r="32" spans="1:66" ht="16.5" thickBot="1" x14ac:dyDescent="0.3">
      <c r="M32" s="42"/>
      <c r="N32" s="29"/>
      <c r="O32" s="113" t="s">
        <v>10</v>
      </c>
      <c r="Q32" s="113" t="s">
        <v>42</v>
      </c>
      <c r="U32" s="40"/>
      <c r="V32" s="40"/>
      <c r="W32" s="43"/>
      <c r="X32" s="39" t="s">
        <v>6</v>
      </c>
      <c r="Y32" s="17"/>
      <c r="AA32" s="202" t="s">
        <v>56</v>
      </c>
      <c r="AB32" s="202"/>
      <c r="AC32" s="202"/>
      <c r="AD32" s="202" t="s">
        <v>14</v>
      </c>
      <c r="AE32" s="202"/>
      <c r="AF32" s="202" t="s">
        <v>102</v>
      </c>
      <c r="AG32" s="202"/>
      <c r="AH32" s="202"/>
      <c r="AI32" s="202"/>
      <c r="AJ32" s="202"/>
      <c r="AL32" s="44"/>
      <c r="AM32" s="44"/>
      <c r="AN32" s="44"/>
      <c r="AO32" s="41" t="s">
        <v>7</v>
      </c>
    </row>
    <row r="33" spans="4:50" x14ac:dyDescent="0.25">
      <c r="M33" s="45"/>
      <c r="N33" s="45"/>
      <c r="O33" s="113" t="s">
        <v>15</v>
      </c>
      <c r="U33" s="44"/>
      <c r="V33" s="44"/>
      <c r="W33" s="44"/>
      <c r="X33" s="39" t="s">
        <v>7</v>
      </c>
      <c r="Y33" s="17"/>
      <c r="AL33" s="46"/>
      <c r="AM33" s="46"/>
      <c r="AN33" s="46"/>
      <c r="AO33" s="41" t="s">
        <v>8</v>
      </c>
    </row>
    <row r="34" spans="4:50" x14ac:dyDescent="0.25">
      <c r="U34" s="46"/>
      <c r="V34" s="46"/>
      <c r="W34" s="47"/>
      <c r="X34" s="39" t="s">
        <v>8</v>
      </c>
      <c r="Y34" s="17"/>
      <c r="AL34" s="119"/>
      <c r="AM34" s="119"/>
      <c r="AN34" s="119"/>
      <c r="AQ34" s="110"/>
      <c r="AR34" s="110"/>
      <c r="AS34" s="110"/>
      <c r="AT34" s="110"/>
      <c r="AU34" s="110"/>
      <c r="AV34" s="110"/>
      <c r="AW34" s="110"/>
      <c r="AX34" s="110"/>
    </row>
    <row r="35" spans="4:50" x14ac:dyDescent="0.25">
      <c r="D35" s="113"/>
      <c r="U35" s="119"/>
      <c r="V35" s="119"/>
      <c r="W35" s="120"/>
      <c r="X35" s="83"/>
      <c r="Y35" s="17"/>
      <c r="AF35" s="23"/>
      <c r="AG35" s="23"/>
      <c r="AH35" s="23"/>
      <c r="AL35" s="119"/>
      <c r="AM35" s="23"/>
      <c r="AN35" s="23"/>
      <c r="AO35" s="23"/>
      <c r="AQ35" s="110"/>
      <c r="AR35" s="110"/>
      <c r="AS35" s="110"/>
      <c r="AT35" s="203"/>
      <c r="AU35" s="203"/>
      <c r="AV35" s="203"/>
      <c r="AW35" s="110"/>
      <c r="AX35" s="110"/>
    </row>
    <row r="36" spans="4:50" x14ac:dyDescent="0.25">
      <c r="D36" s="113"/>
      <c r="U36" s="23"/>
      <c r="V36" s="23"/>
      <c r="W36" s="23"/>
      <c r="X36" s="23"/>
    </row>
    <row r="37" spans="4:50" ht="89.45" customHeight="1" thickBot="1" x14ac:dyDescent="0.3">
      <c r="D37" s="113"/>
      <c r="U37" s="23"/>
      <c r="V37" s="23"/>
      <c r="W37" s="23"/>
      <c r="X37" s="23"/>
      <c r="AA37" s="198" t="s">
        <v>78</v>
      </c>
      <c r="AB37" s="198"/>
      <c r="AC37" s="198"/>
      <c r="AD37" s="198"/>
      <c r="AE37" s="198"/>
      <c r="AF37" s="198"/>
      <c r="AG37" s="198"/>
      <c r="AH37" s="198"/>
      <c r="AI37" s="198"/>
      <c r="AJ37" s="198"/>
      <c r="AL37" s="199" t="s">
        <v>57</v>
      </c>
      <c r="AM37" s="199"/>
      <c r="AN37" s="199"/>
      <c r="AO37" s="199"/>
      <c r="AP37" s="199"/>
      <c r="AR37" s="199" t="s">
        <v>103</v>
      </c>
      <c r="AS37" s="199"/>
      <c r="AT37" s="199"/>
      <c r="AU37" s="199"/>
      <c r="AV37" s="199"/>
      <c r="AW37" s="110"/>
      <c r="AX37" s="110"/>
    </row>
    <row r="38" spans="4:50" ht="14.45" customHeight="1" x14ac:dyDescent="0.25">
      <c r="D38" s="113"/>
      <c r="AU38" s="110"/>
      <c r="AV38" s="110"/>
      <c r="AW38" s="110"/>
      <c r="AX38" s="110"/>
    </row>
    <row r="39" spans="4:50" ht="76.150000000000006" customHeight="1" x14ac:dyDescent="0.25">
      <c r="D39" s="113"/>
      <c r="AV39" s="110"/>
      <c r="AW39" s="110"/>
      <c r="AX39" s="110"/>
    </row>
    <row r="40" spans="4:50" ht="14.45" customHeight="1" x14ac:dyDescent="0.25">
      <c r="D40" s="113"/>
      <c r="AC40" s="113" t="s">
        <v>42</v>
      </c>
      <c r="AX40" s="110"/>
    </row>
    <row r="41" spans="4:50" x14ac:dyDescent="0.25">
      <c r="D41" s="113"/>
      <c r="AQ41" s="110"/>
      <c r="AV41" s="110"/>
      <c r="AW41" s="110"/>
      <c r="AX41" s="110"/>
    </row>
    <row r="42" spans="4:50" x14ac:dyDescent="0.25">
      <c r="D42" s="113"/>
      <c r="AQ42" s="110"/>
    </row>
    <row r="43" spans="4:50" x14ac:dyDescent="0.25">
      <c r="D43" s="113"/>
      <c r="AQ43" s="110"/>
      <c r="AR43" s="110"/>
      <c r="AS43" s="110"/>
      <c r="AX43" s="110"/>
    </row>
    <row r="44" spans="4:50" x14ac:dyDescent="0.25">
      <c r="AX44" s="110"/>
    </row>
    <row r="45" spans="4:50" x14ac:dyDescent="0.25">
      <c r="AX45" s="110"/>
    </row>
    <row r="46" spans="4:50" x14ac:dyDescent="0.25">
      <c r="T46" s="51"/>
    </row>
    <row r="48" spans="4:50" x14ac:dyDescent="0.25">
      <c r="AP48" s="50"/>
      <c r="AQ48" s="50"/>
      <c r="AR48" s="50"/>
      <c r="AS48" s="50"/>
    </row>
  </sheetData>
  <mergeCells count="228">
    <mergeCell ref="AA37:AJ37"/>
    <mergeCell ref="AL37:AP37"/>
    <mergeCell ref="AR37:AV37"/>
    <mergeCell ref="BC7:BE7"/>
    <mergeCell ref="AW27:BA27"/>
    <mergeCell ref="BB27:BD27"/>
    <mergeCell ref="AF29:AJ29"/>
    <mergeCell ref="AA32:AE32"/>
    <mergeCell ref="AF32:AJ32"/>
    <mergeCell ref="AT35:AV35"/>
    <mergeCell ref="AX25:BA25"/>
    <mergeCell ref="AA26:AE26"/>
    <mergeCell ref="AF26:AJ26"/>
    <mergeCell ref="AL26:AP26"/>
    <mergeCell ref="AQ26:AU26"/>
    <mergeCell ref="AW26:BE26"/>
    <mergeCell ref="AW24:BE24"/>
    <mergeCell ref="AQ21:AU21"/>
    <mergeCell ref="AW21:BE21"/>
    <mergeCell ref="AL20:AP20"/>
    <mergeCell ref="AQ20:AU20"/>
    <mergeCell ref="AW20:BE20"/>
    <mergeCell ref="AE17:AF17"/>
    <mergeCell ref="AM17:AO17"/>
    <mergeCell ref="E25:N25"/>
    <mergeCell ref="P25:Y25"/>
    <mergeCell ref="AA25:AE25"/>
    <mergeCell ref="AF25:AJ25"/>
    <mergeCell ref="AL25:AP25"/>
    <mergeCell ref="AQ25:AU25"/>
    <mergeCell ref="F24:N24"/>
    <mergeCell ref="Q24:Y24"/>
    <mergeCell ref="AF24:AJ24"/>
    <mergeCell ref="AM24:AQ24"/>
    <mergeCell ref="AS24:AU24"/>
    <mergeCell ref="BJ22:BM22"/>
    <mergeCell ref="F23:N23"/>
    <mergeCell ref="Q23:Y23"/>
    <mergeCell ref="AB23:AD23"/>
    <mergeCell ref="AG23:AI23"/>
    <mergeCell ref="AM23:AP23"/>
    <mergeCell ref="AR23:AS23"/>
    <mergeCell ref="AW23:BE23"/>
    <mergeCell ref="BJ23:BM23"/>
    <mergeCell ref="F22:M22"/>
    <mergeCell ref="Q22:U22"/>
    <mergeCell ref="W22:Y22"/>
    <mergeCell ref="AB22:AD22"/>
    <mergeCell ref="AG22:AI22"/>
    <mergeCell ref="AM22:AO22"/>
    <mergeCell ref="AR22:AS22"/>
    <mergeCell ref="AW22:BE22"/>
    <mergeCell ref="V18:Y18"/>
    <mergeCell ref="AB18:AE18"/>
    <mergeCell ref="E21:I21"/>
    <mergeCell ref="J21:N21"/>
    <mergeCell ref="P21:T21"/>
    <mergeCell ref="U21:Y21"/>
    <mergeCell ref="AA21:AE21"/>
    <mergeCell ref="AF21:AJ21"/>
    <mergeCell ref="AL21:AP21"/>
    <mergeCell ref="E20:I20"/>
    <mergeCell ref="J20:N20"/>
    <mergeCell ref="P20:T20"/>
    <mergeCell ref="U20:Y20"/>
    <mergeCell ref="AA20:AE20"/>
    <mergeCell ref="AF20:AJ20"/>
    <mergeCell ref="K16:M16"/>
    <mergeCell ref="Q16:S16"/>
    <mergeCell ref="V16:X16"/>
    <mergeCell ref="AA16:AD16"/>
    <mergeCell ref="AG16:AI16"/>
    <mergeCell ref="AR17:AS17"/>
    <mergeCell ref="AX17:BA17"/>
    <mergeCell ref="F19:H19"/>
    <mergeCell ref="K19:M19"/>
    <mergeCell ref="P19:S19"/>
    <mergeCell ref="V19:Y19"/>
    <mergeCell ref="AB19:AE19"/>
    <mergeCell ref="AG19:AI19"/>
    <mergeCell ref="AM19:AO19"/>
    <mergeCell ref="AR19:AT19"/>
    <mergeCell ref="AX19:BA19"/>
    <mergeCell ref="AG18:AJ18"/>
    <mergeCell ref="AM18:AO18"/>
    <mergeCell ref="AQ18:AT18"/>
    <mergeCell ref="AX18:BA18"/>
    <mergeCell ref="AB17:AC17"/>
    <mergeCell ref="F16:H16"/>
    <mergeCell ref="K18:M18"/>
    <mergeCell ref="P18:S18"/>
    <mergeCell ref="BC18:BE18"/>
    <mergeCell ref="F18:H18"/>
    <mergeCell ref="BC17:BE17"/>
    <mergeCell ref="BC16:BE16"/>
    <mergeCell ref="BH14:BJ14"/>
    <mergeCell ref="E15:H15"/>
    <mergeCell ref="K15:M15"/>
    <mergeCell ref="Q15:R15"/>
    <mergeCell ref="V15:X15"/>
    <mergeCell ref="AA15:AC15"/>
    <mergeCell ref="AG15:AH15"/>
    <mergeCell ref="AI15:AJ15"/>
    <mergeCell ref="AM15:AN15"/>
    <mergeCell ref="AP15:AT15"/>
    <mergeCell ref="AX15:BA15"/>
    <mergeCell ref="BC15:BE15"/>
    <mergeCell ref="AL16:AO16"/>
    <mergeCell ref="AQ16:AR16"/>
    <mergeCell ref="AS16:AT16"/>
    <mergeCell ref="AX16:BA16"/>
    <mergeCell ref="F17:H17"/>
    <mergeCell ref="K17:M17"/>
    <mergeCell ref="Q17:R17"/>
    <mergeCell ref="V17:X17"/>
    <mergeCell ref="BC13:BE13"/>
    <mergeCell ref="F14:H14"/>
    <mergeCell ref="K14:M14"/>
    <mergeCell ref="Q14:R14"/>
    <mergeCell ref="V14:X14"/>
    <mergeCell ref="AA14:AJ14"/>
    <mergeCell ref="AM14:AN14"/>
    <mergeCell ref="AQ14:AU14"/>
    <mergeCell ref="AX14:BA14"/>
    <mergeCell ref="BC14:BE14"/>
    <mergeCell ref="F13:H13"/>
    <mergeCell ref="K13:N13"/>
    <mergeCell ref="Q13:S13"/>
    <mergeCell ref="V13:X13"/>
    <mergeCell ref="AA13:AC13"/>
    <mergeCell ref="AG13:AI13"/>
    <mergeCell ref="AM13:AO13"/>
    <mergeCell ref="AQ13:AS13"/>
    <mergeCell ref="AX13:BA13"/>
    <mergeCell ref="BC11:BE11"/>
    <mergeCell ref="E12:I12"/>
    <mergeCell ref="J12:N12"/>
    <mergeCell ref="P12:T12"/>
    <mergeCell ref="U12:Y12"/>
    <mergeCell ref="AA12:AE12"/>
    <mergeCell ref="AF12:AJ12"/>
    <mergeCell ref="AL12:AP12"/>
    <mergeCell ref="AQ12:AU12"/>
    <mergeCell ref="AW12:BE12"/>
    <mergeCell ref="E11:H11"/>
    <mergeCell ref="K11:N11"/>
    <mergeCell ref="Q11:S11"/>
    <mergeCell ref="V11:W11"/>
    <mergeCell ref="AA11:AD11"/>
    <mergeCell ref="AG11:AI11"/>
    <mergeCell ref="AM11:AO11"/>
    <mergeCell ref="AQ11:AS11"/>
    <mergeCell ref="AX11:BA11"/>
    <mergeCell ref="F10:H10"/>
    <mergeCell ref="K10:M10"/>
    <mergeCell ref="Q10:S10"/>
    <mergeCell ref="V10:X10"/>
    <mergeCell ref="AB10:AD10"/>
    <mergeCell ref="AG10:AI10"/>
    <mergeCell ref="AM10:AO10"/>
    <mergeCell ref="AQ10:AS10"/>
    <mergeCell ref="AW10:BE10"/>
    <mergeCell ref="BC8:BE8"/>
    <mergeCell ref="BH8:BK8"/>
    <mergeCell ref="F9:H9"/>
    <mergeCell ref="K9:M9"/>
    <mergeCell ref="Q9:S9"/>
    <mergeCell ref="V9:X9"/>
    <mergeCell ref="AB9:AD9"/>
    <mergeCell ref="AG9:AI9"/>
    <mergeCell ref="AL9:AO9"/>
    <mergeCell ref="AR9:AT9"/>
    <mergeCell ref="AX9:BA9"/>
    <mergeCell ref="BC9:BE9"/>
    <mergeCell ref="AG6:AJ6"/>
    <mergeCell ref="AF7:AH7"/>
    <mergeCell ref="AM7:AO7"/>
    <mergeCell ref="AQ7:AS7"/>
    <mergeCell ref="AX7:AZ7"/>
    <mergeCell ref="F8:H8"/>
    <mergeCell ref="K8:M8"/>
    <mergeCell ref="Q8:S8"/>
    <mergeCell ref="V8:X8"/>
    <mergeCell ref="AC8:AE8"/>
    <mergeCell ref="AG8:AI8"/>
    <mergeCell ref="AM8:AO8"/>
    <mergeCell ref="AQ8:AT8"/>
    <mergeCell ref="AX8:BA8"/>
    <mergeCell ref="F7:H7"/>
    <mergeCell ref="K7:M7"/>
    <mergeCell ref="Q7:S7"/>
    <mergeCell ref="V7:X7"/>
    <mergeCell ref="AB7:AD7"/>
    <mergeCell ref="F6:H6"/>
    <mergeCell ref="K6:M6"/>
    <mergeCell ref="Q6:S6"/>
    <mergeCell ref="V6:X6"/>
    <mergeCell ref="AA6:AD6"/>
    <mergeCell ref="BH5:BJ5"/>
    <mergeCell ref="BL5:BN5"/>
    <mergeCell ref="AR4:AT4"/>
    <mergeCell ref="AX4:AZ4"/>
    <mergeCell ref="BH4:BK4"/>
    <mergeCell ref="AM6:AO6"/>
    <mergeCell ref="AQ6:AS6"/>
    <mergeCell ref="AX6:AZ6"/>
    <mergeCell ref="BB6:BC6"/>
    <mergeCell ref="BH6:BJ6"/>
    <mergeCell ref="AV1:BE1"/>
    <mergeCell ref="V4:X4"/>
    <mergeCell ref="AC4:AD4"/>
    <mergeCell ref="AG4:AI4"/>
    <mergeCell ref="AM4:AO4"/>
    <mergeCell ref="E5:H5"/>
    <mergeCell ref="J5:N5"/>
    <mergeCell ref="P5:S5"/>
    <mergeCell ref="V5:X5"/>
    <mergeCell ref="AB5:AD5"/>
    <mergeCell ref="AG5:AJ5"/>
    <mergeCell ref="AM5:AO5"/>
    <mergeCell ref="D1:M1"/>
    <mergeCell ref="O1:X1"/>
    <mergeCell ref="Z1:AI1"/>
    <mergeCell ref="AK1:AT1"/>
    <mergeCell ref="AQ5:AR5"/>
    <mergeCell ref="AS5:AU5"/>
    <mergeCell ref="AW5:AX5"/>
    <mergeCell ref="AY5:AZ5"/>
  </mergeCells>
  <pageMargins left="0.25" right="0.25" top="0.75" bottom="0.75" header="0.3" footer="0.3"/>
  <pageSetup paperSize="8" scale="59" fitToWidth="0" orientation="portrait" r:id="rId1"/>
  <rowBreaks count="1" manualBreakCount="1">
    <brk id="16" min="3" max="55" man="1"/>
  </rowBreaks>
  <colBreaks count="2" manualBreakCount="2">
    <brk id="25" max="35" man="1"/>
    <brk id="47" max="3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65319-7A31-47CA-90DE-D31AC3B91301}">
  <sheetPr>
    <pageSetUpPr fitToPage="1"/>
  </sheetPr>
  <dimension ref="A1:BN48"/>
  <sheetViews>
    <sheetView topLeftCell="G1" zoomScale="40" zoomScaleNormal="40" workbookViewId="0">
      <pane ySplit="2" topLeftCell="A11" activePane="bottomLeft" state="frozen"/>
      <selection pane="bottomLeft" activeCell="BP14" sqref="BP14"/>
    </sheetView>
  </sheetViews>
  <sheetFormatPr baseColWidth="10" defaultColWidth="11.5703125" defaultRowHeight="15" x14ac:dyDescent="0.25"/>
  <cols>
    <col min="1" max="1" width="8.85546875" style="106" customWidth="1"/>
    <col min="2" max="3" width="9" style="106" customWidth="1"/>
    <col min="4" max="4" width="11.7109375" style="5" customWidth="1"/>
    <col min="5" max="5" width="5.85546875" style="106" bestFit="1" customWidth="1"/>
    <col min="6" max="8" width="10.5703125" style="106" customWidth="1"/>
    <col min="9" max="10" width="8" style="106" bestFit="1" customWidth="1"/>
    <col min="11" max="14" width="10.5703125" style="106" customWidth="1"/>
    <col min="15" max="15" width="11" style="106" customWidth="1"/>
    <col min="16" max="16" width="5.85546875" style="106" bestFit="1" customWidth="1"/>
    <col min="17" max="19" width="10.5703125" style="106" customWidth="1"/>
    <col min="20" max="21" width="8" style="106" bestFit="1" customWidth="1"/>
    <col min="22" max="25" width="10.5703125" style="106" customWidth="1"/>
    <col min="26" max="26" width="11.7109375" style="106" customWidth="1"/>
    <col min="27" max="27" width="5.85546875" style="106" bestFit="1" customWidth="1"/>
    <col min="28" max="28" width="10.5703125" style="106" customWidth="1"/>
    <col min="29" max="29" width="11.140625" style="106" customWidth="1"/>
    <col min="30" max="30" width="10.5703125" style="106" customWidth="1"/>
    <col min="31" max="32" width="8" style="106" bestFit="1" customWidth="1"/>
    <col min="33" max="36" width="10.5703125" style="106" customWidth="1"/>
    <col min="37" max="37" width="12" style="106" customWidth="1"/>
    <col min="38" max="38" width="8.42578125" style="106" bestFit="1" customWidth="1"/>
    <col min="39" max="41" width="10.5703125" style="106" customWidth="1"/>
    <col min="42" max="42" width="10.28515625" style="106" bestFit="1" customWidth="1"/>
    <col min="43" max="47" width="10.5703125" style="106" customWidth="1"/>
    <col min="48" max="48" width="11.42578125" style="106" customWidth="1"/>
    <col min="49" max="49" width="5.85546875" style="106" bestFit="1" customWidth="1"/>
    <col min="50" max="52" width="10.5703125" style="106" customWidth="1"/>
    <col min="53" max="53" width="9" style="106" customWidth="1"/>
    <col min="54" max="54" width="8" style="106" customWidth="1"/>
    <col min="55" max="56" width="10.5703125" style="106" customWidth="1"/>
    <col min="57" max="57" width="14.28515625" style="106" customWidth="1"/>
    <col min="58" max="58" width="11.5703125" style="106" customWidth="1"/>
    <col min="59" max="16384" width="11.5703125" style="106"/>
  </cols>
  <sheetData>
    <row r="1" spans="1:66" ht="15.75" thickBot="1" x14ac:dyDescent="0.3">
      <c r="D1" s="153" t="s">
        <v>0</v>
      </c>
      <c r="E1" s="153"/>
      <c r="F1" s="153"/>
      <c r="G1" s="153"/>
      <c r="H1" s="153"/>
      <c r="I1" s="153"/>
      <c r="J1" s="153"/>
      <c r="K1" s="153"/>
      <c r="L1" s="153"/>
      <c r="M1" s="153"/>
      <c r="N1" s="102"/>
      <c r="O1" s="154" t="s">
        <v>1</v>
      </c>
      <c r="P1" s="154"/>
      <c r="Q1" s="154"/>
      <c r="R1" s="154"/>
      <c r="S1" s="154"/>
      <c r="T1" s="154"/>
      <c r="U1" s="154"/>
      <c r="V1" s="154"/>
      <c r="W1" s="154"/>
      <c r="X1" s="154"/>
      <c r="Y1" s="103"/>
      <c r="Z1" s="155" t="s">
        <v>2</v>
      </c>
      <c r="AA1" s="155"/>
      <c r="AB1" s="155"/>
      <c r="AC1" s="155"/>
      <c r="AD1" s="155"/>
      <c r="AE1" s="155"/>
      <c r="AF1" s="155"/>
      <c r="AG1" s="155"/>
      <c r="AH1" s="155"/>
      <c r="AI1" s="155"/>
      <c r="AJ1" s="104"/>
      <c r="AK1" s="156" t="s">
        <v>3</v>
      </c>
      <c r="AL1" s="156"/>
      <c r="AM1" s="156"/>
      <c r="AN1" s="156"/>
      <c r="AO1" s="156"/>
      <c r="AP1" s="156"/>
      <c r="AQ1" s="156"/>
      <c r="AR1" s="156"/>
      <c r="AS1" s="156"/>
      <c r="AT1" s="156"/>
      <c r="AU1" s="105"/>
      <c r="AV1" s="157" t="s">
        <v>4</v>
      </c>
      <c r="AW1" s="157"/>
      <c r="AX1" s="157"/>
      <c r="AY1" s="157"/>
      <c r="AZ1" s="157"/>
      <c r="BA1" s="157"/>
      <c r="BB1" s="157"/>
      <c r="BC1" s="157"/>
      <c r="BD1" s="157"/>
      <c r="BE1" s="157"/>
    </row>
    <row r="2" spans="1:66" ht="48.75" thickBot="1" x14ac:dyDescent="0.3">
      <c r="C2" s="7" t="s">
        <v>45</v>
      </c>
      <c r="D2" s="1" t="s">
        <v>5</v>
      </c>
      <c r="E2" s="8" t="s">
        <v>16</v>
      </c>
      <c r="F2" s="9" t="s">
        <v>17</v>
      </c>
      <c r="G2" s="9" t="s">
        <v>18</v>
      </c>
      <c r="H2" s="9" t="s">
        <v>19</v>
      </c>
      <c r="I2" s="9" t="s">
        <v>24</v>
      </c>
      <c r="J2" s="9" t="s">
        <v>20</v>
      </c>
      <c r="K2" s="9" t="s">
        <v>21</v>
      </c>
      <c r="L2" s="10" t="s">
        <v>22</v>
      </c>
      <c r="M2" s="11" t="s">
        <v>23</v>
      </c>
      <c r="N2" s="12" t="s">
        <v>25</v>
      </c>
      <c r="O2" s="2" t="s">
        <v>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24</v>
      </c>
      <c r="U2" s="9" t="s">
        <v>20</v>
      </c>
      <c r="V2" s="9" t="s">
        <v>21</v>
      </c>
      <c r="W2" s="10" t="s">
        <v>22</v>
      </c>
      <c r="X2" s="11" t="s">
        <v>23</v>
      </c>
      <c r="Y2" s="12" t="s">
        <v>25</v>
      </c>
      <c r="Z2" s="3" t="s">
        <v>5</v>
      </c>
      <c r="AA2" s="9" t="s">
        <v>16</v>
      </c>
      <c r="AB2" s="9" t="s">
        <v>17</v>
      </c>
      <c r="AC2" s="9" t="s">
        <v>18</v>
      </c>
      <c r="AD2" s="9" t="s">
        <v>19</v>
      </c>
      <c r="AE2" s="9" t="s">
        <v>24</v>
      </c>
      <c r="AF2" s="9" t="s">
        <v>20</v>
      </c>
      <c r="AG2" s="9" t="s">
        <v>21</v>
      </c>
      <c r="AH2" s="10" t="s">
        <v>22</v>
      </c>
      <c r="AI2" s="11" t="s">
        <v>23</v>
      </c>
      <c r="AJ2" s="12" t="s">
        <v>25</v>
      </c>
      <c r="AK2" s="3" t="s">
        <v>5</v>
      </c>
      <c r="AL2" s="9" t="s">
        <v>16</v>
      </c>
      <c r="AM2" s="9" t="s">
        <v>17</v>
      </c>
      <c r="AN2" s="9" t="s">
        <v>18</v>
      </c>
      <c r="AO2" s="9" t="s">
        <v>19</v>
      </c>
      <c r="AP2" s="9" t="s">
        <v>24</v>
      </c>
      <c r="AQ2" s="9" t="s">
        <v>20</v>
      </c>
      <c r="AR2" s="9" t="s">
        <v>21</v>
      </c>
      <c r="AS2" s="10" t="s">
        <v>22</v>
      </c>
      <c r="AT2" s="11" t="s">
        <v>23</v>
      </c>
      <c r="AU2" s="12" t="s">
        <v>25</v>
      </c>
      <c r="AV2" s="3" t="s">
        <v>5</v>
      </c>
      <c r="AW2" s="9" t="s">
        <v>16</v>
      </c>
      <c r="AX2" s="9" t="s">
        <v>17</v>
      </c>
      <c r="AY2" s="9" t="s">
        <v>18</v>
      </c>
      <c r="AZ2" s="9" t="s">
        <v>19</v>
      </c>
      <c r="BA2" s="9" t="s">
        <v>24</v>
      </c>
      <c r="BB2" s="9" t="s">
        <v>20</v>
      </c>
      <c r="BC2" s="9" t="s">
        <v>21</v>
      </c>
      <c r="BD2" s="10" t="s">
        <v>22</v>
      </c>
      <c r="BE2" s="126" t="s">
        <v>23</v>
      </c>
      <c r="BF2" s="14" t="s">
        <v>40</v>
      </c>
    </row>
    <row r="3" spans="1:66" x14ac:dyDescent="0.25">
      <c r="A3" s="15">
        <v>45893</v>
      </c>
      <c r="B3" s="15">
        <f>A3+4</f>
        <v>45897</v>
      </c>
      <c r="D3" s="16">
        <f t="shared" ref="D3:D27" si="0">A3</f>
        <v>45893</v>
      </c>
      <c r="E3" s="17"/>
      <c r="F3" s="17"/>
      <c r="G3" s="17"/>
      <c r="H3" s="17"/>
      <c r="I3" s="17"/>
      <c r="J3" s="17"/>
      <c r="K3" s="17"/>
      <c r="L3" s="17"/>
      <c r="M3" s="17"/>
      <c r="N3" s="18"/>
      <c r="O3" s="19">
        <f>A3+1</f>
        <v>45894</v>
      </c>
      <c r="P3" s="17"/>
      <c r="Q3" s="17"/>
      <c r="R3" s="17"/>
      <c r="S3" s="17"/>
      <c r="T3" s="17"/>
      <c r="U3" s="17"/>
      <c r="V3" s="17"/>
      <c r="W3" s="17"/>
      <c r="X3" s="17"/>
      <c r="Y3" s="17"/>
      <c r="Z3" s="19">
        <f>A3+2</f>
        <v>45895</v>
      </c>
      <c r="AA3" s="17"/>
      <c r="AB3" s="17"/>
      <c r="AC3" s="17"/>
      <c r="AD3" s="17"/>
      <c r="AE3" s="99"/>
      <c r="AF3" s="17"/>
      <c r="AG3" s="17"/>
      <c r="AH3" s="17"/>
      <c r="AI3" s="17"/>
      <c r="AJ3" s="17"/>
      <c r="AK3" s="19">
        <f>A3+3</f>
        <v>45896</v>
      </c>
      <c r="AL3" s="17"/>
      <c r="AM3" s="17"/>
      <c r="AN3" s="17"/>
      <c r="AO3" s="17"/>
      <c r="AP3" s="17"/>
      <c r="AQ3" s="17"/>
      <c r="AR3" s="20"/>
      <c r="AS3" s="20"/>
      <c r="AT3" s="20"/>
      <c r="AU3" s="17"/>
      <c r="AV3" s="19">
        <f>A3+4</f>
        <v>45897</v>
      </c>
      <c r="AW3" s="17"/>
      <c r="AX3" s="17"/>
      <c r="AY3" s="17"/>
      <c r="AZ3" s="17"/>
      <c r="BA3" s="17"/>
      <c r="BB3" s="99"/>
      <c r="BC3" s="99"/>
      <c r="BD3" s="99"/>
      <c r="BE3" s="21"/>
      <c r="BF3" s="22"/>
    </row>
    <row r="4" spans="1:66" ht="85.5" customHeight="1" x14ac:dyDescent="0.25">
      <c r="A4" s="15">
        <f>B3+3</f>
        <v>45900</v>
      </c>
      <c r="B4" s="15">
        <f t="shared" ref="B4:B27" si="1">A4+4</f>
        <v>45904</v>
      </c>
      <c r="C4" s="23"/>
      <c r="D4" s="24">
        <f t="shared" si="0"/>
        <v>45900</v>
      </c>
      <c r="E4" s="17"/>
      <c r="F4" s="17"/>
      <c r="I4" s="99"/>
      <c r="J4" s="99"/>
      <c r="M4" s="107"/>
      <c r="N4" s="99"/>
      <c r="O4" s="19">
        <f>O3+7</f>
        <v>45901</v>
      </c>
      <c r="P4" s="99"/>
      <c r="Q4" s="159" t="s">
        <v>11</v>
      </c>
      <c r="R4" s="159"/>
      <c r="T4" s="99"/>
      <c r="U4" s="99"/>
      <c r="V4" s="158" t="s">
        <v>28</v>
      </c>
      <c r="W4" s="158"/>
      <c r="X4" s="158"/>
      <c r="Y4" s="99"/>
      <c r="Z4" s="19">
        <f>Z3+7</f>
        <v>45902</v>
      </c>
      <c r="AA4" s="17"/>
      <c r="AB4" s="17"/>
      <c r="AC4" s="159" t="s">
        <v>79</v>
      </c>
      <c r="AD4" s="159"/>
      <c r="AE4" s="17"/>
      <c r="AG4" s="160" t="s">
        <v>164</v>
      </c>
      <c r="AH4" s="160"/>
      <c r="AI4" s="160"/>
      <c r="AJ4" s="17"/>
      <c r="AK4" s="19">
        <f>AK3+7</f>
        <v>45903</v>
      </c>
      <c r="AL4" s="17"/>
      <c r="AM4" s="161" t="s">
        <v>32</v>
      </c>
      <c r="AN4" s="162"/>
      <c r="AO4" s="162"/>
      <c r="AP4" s="17"/>
      <c r="AR4" s="160" t="s">
        <v>164</v>
      </c>
      <c r="AS4" s="160"/>
      <c r="AT4" s="160"/>
      <c r="AU4" s="39" t="s">
        <v>161</v>
      </c>
      <c r="AV4" s="19">
        <f>AV3+7</f>
        <v>45904</v>
      </c>
      <c r="AW4" s="17"/>
      <c r="AX4" s="158" t="s">
        <v>27</v>
      </c>
      <c r="AY4" s="158"/>
      <c r="AZ4" s="158"/>
      <c r="BA4" s="17"/>
      <c r="BB4" s="17"/>
      <c r="BC4" s="17"/>
      <c r="BD4" s="17"/>
      <c r="BE4" s="17"/>
      <c r="BF4" s="52"/>
      <c r="BH4" s="164" t="s">
        <v>46</v>
      </c>
      <c r="BI4" s="165"/>
      <c r="BJ4" s="165"/>
      <c r="BK4" s="165"/>
    </row>
    <row r="5" spans="1:66" ht="70.900000000000006" customHeight="1" x14ac:dyDescent="0.25">
      <c r="A5" s="15">
        <f t="shared" ref="A5:A26" si="2">B4+3</f>
        <v>45907</v>
      </c>
      <c r="B5" s="15">
        <f t="shared" si="1"/>
        <v>45911</v>
      </c>
      <c r="D5" s="24">
        <f t="shared" si="0"/>
        <v>45907</v>
      </c>
      <c r="E5" s="166" t="s">
        <v>43</v>
      </c>
      <c r="F5" s="166"/>
      <c r="G5" s="166"/>
      <c r="H5" s="166"/>
      <c r="I5" s="25"/>
      <c r="J5" s="166" t="s">
        <v>43</v>
      </c>
      <c r="K5" s="166"/>
      <c r="L5" s="166"/>
      <c r="M5" s="166"/>
      <c r="N5" s="166"/>
      <c r="O5" s="19">
        <f t="shared" ref="O5:O26" si="3">O4+7</f>
        <v>45908</v>
      </c>
      <c r="P5" s="167" t="s">
        <v>142</v>
      </c>
      <c r="Q5" s="167"/>
      <c r="R5" s="167"/>
      <c r="S5" s="167"/>
      <c r="T5" s="25"/>
      <c r="V5" s="206" t="s">
        <v>188</v>
      </c>
      <c r="W5" s="206"/>
      <c r="X5" s="206"/>
      <c r="Z5" s="19">
        <f t="shared" ref="Z5:Z26" si="4">Z4+7</f>
        <v>45909</v>
      </c>
      <c r="AA5" s="17"/>
      <c r="AB5" s="161" t="s">
        <v>32</v>
      </c>
      <c r="AC5" s="162"/>
      <c r="AD5" s="162"/>
      <c r="AE5" s="17"/>
      <c r="AF5" s="17"/>
      <c r="AG5" s="160" t="s">
        <v>164</v>
      </c>
      <c r="AH5" s="160"/>
      <c r="AI5" s="160"/>
      <c r="AJ5" s="160"/>
      <c r="AK5" s="19">
        <f t="shared" ref="AK5:AK26" si="5">AK4+7</f>
        <v>45910</v>
      </c>
      <c r="AL5" s="106" t="s">
        <v>26</v>
      </c>
      <c r="AM5" s="169" t="s">
        <v>61</v>
      </c>
      <c r="AN5" s="169"/>
      <c r="AO5" s="169"/>
      <c r="AP5" s="90" t="s">
        <v>26</v>
      </c>
      <c r="AQ5" s="169" t="s">
        <v>186</v>
      </c>
      <c r="AR5" s="169"/>
      <c r="AS5" s="161" t="s">
        <v>205</v>
      </c>
      <c r="AT5" s="161"/>
      <c r="AU5" s="161"/>
      <c r="AV5" s="19">
        <f t="shared" ref="AV5:AV26" si="6">AV4+7</f>
        <v>45911</v>
      </c>
      <c r="AW5" s="158" t="s">
        <v>27</v>
      </c>
      <c r="AX5" s="158"/>
      <c r="AY5" s="158" t="s">
        <v>28</v>
      </c>
      <c r="AZ5" s="158"/>
      <c r="BB5" s="17"/>
      <c r="BC5" s="17"/>
      <c r="BD5" s="17"/>
      <c r="BE5" s="17"/>
      <c r="BF5" s="52"/>
      <c r="BH5" s="161" t="s">
        <v>51</v>
      </c>
      <c r="BI5" s="162"/>
      <c r="BJ5" s="162"/>
      <c r="BK5" s="99"/>
      <c r="BL5" s="161" t="s">
        <v>51</v>
      </c>
      <c r="BM5" s="162"/>
      <c r="BN5" s="162"/>
    </row>
    <row r="6" spans="1:66" ht="79.900000000000006" customHeight="1" x14ac:dyDescent="0.25">
      <c r="A6" s="15">
        <f t="shared" si="2"/>
        <v>45914</v>
      </c>
      <c r="B6" s="15">
        <f t="shared" si="1"/>
        <v>45918</v>
      </c>
      <c r="D6" s="24">
        <f t="shared" si="0"/>
        <v>45914</v>
      </c>
      <c r="E6" s="17"/>
      <c r="F6" s="158" t="s">
        <v>27</v>
      </c>
      <c r="G6" s="158"/>
      <c r="H6" s="158"/>
      <c r="I6" s="17"/>
      <c r="J6" s="17"/>
      <c r="K6" s="184" t="s">
        <v>60</v>
      </c>
      <c r="L6" s="184"/>
      <c r="M6" s="184"/>
      <c r="N6" s="17"/>
      <c r="O6" s="19">
        <f t="shared" si="3"/>
        <v>45915</v>
      </c>
      <c r="P6" s="99"/>
      <c r="Q6" s="158" t="s">
        <v>184</v>
      </c>
      <c r="R6" s="163"/>
      <c r="S6" s="163"/>
      <c r="T6" s="17" t="s">
        <v>26</v>
      </c>
      <c r="U6" s="17"/>
      <c r="V6" s="158" t="s">
        <v>28</v>
      </c>
      <c r="W6" s="158"/>
      <c r="X6" s="158"/>
      <c r="Y6" s="99"/>
      <c r="Z6" s="19">
        <f t="shared" si="4"/>
        <v>45916</v>
      </c>
      <c r="AA6" s="161" t="s">
        <v>63</v>
      </c>
      <c r="AB6" s="161"/>
      <c r="AC6" s="161"/>
      <c r="AD6" s="161"/>
      <c r="AF6" s="17"/>
      <c r="AG6" s="207" t="s">
        <v>173</v>
      </c>
      <c r="AH6" s="207"/>
      <c r="AI6" s="207"/>
      <c r="AJ6" s="207"/>
      <c r="AK6" s="19">
        <f t="shared" si="5"/>
        <v>45917</v>
      </c>
      <c r="AL6" s="106" t="s">
        <v>26</v>
      </c>
      <c r="AM6" s="169" t="s">
        <v>30</v>
      </c>
      <c r="AN6" s="169"/>
      <c r="AO6" s="169"/>
      <c r="AP6" s="79"/>
      <c r="AQ6" s="169" t="s">
        <v>30</v>
      </c>
      <c r="AR6" s="169"/>
      <c r="AS6" s="169"/>
      <c r="AT6" s="17" t="s">
        <v>26</v>
      </c>
      <c r="AU6" s="17"/>
      <c r="AV6" s="19">
        <f t="shared" si="6"/>
        <v>45918</v>
      </c>
      <c r="AW6" s="17"/>
      <c r="AX6" s="170" t="s">
        <v>189</v>
      </c>
      <c r="AY6" s="170"/>
      <c r="AZ6" s="170"/>
      <c r="BA6" s="94"/>
      <c r="BB6" s="171" t="s">
        <v>68</v>
      </c>
      <c r="BC6" s="171"/>
      <c r="BD6" s="17"/>
      <c r="BE6" s="17"/>
      <c r="BF6" s="52"/>
      <c r="BH6" s="161" t="s">
        <v>84</v>
      </c>
      <c r="BI6" s="161"/>
      <c r="BJ6" s="161"/>
    </row>
    <row r="7" spans="1:66" ht="60" customHeight="1" x14ac:dyDescent="0.25">
      <c r="A7" s="15">
        <f t="shared" si="2"/>
        <v>45921</v>
      </c>
      <c r="B7" s="15">
        <f t="shared" si="1"/>
        <v>45925</v>
      </c>
      <c r="C7" s="26" t="s">
        <v>39</v>
      </c>
      <c r="D7" s="24">
        <f t="shared" si="0"/>
        <v>45921</v>
      </c>
      <c r="E7" s="17"/>
      <c r="F7" s="158" t="s">
        <v>27</v>
      </c>
      <c r="G7" s="158"/>
      <c r="H7" s="158"/>
      <c r="I7" s="17"/>
      <c r="J7" s="17"/>
      <c r="K7" s="173" t="s">
        <v>179</v>
      </c>
      <c r="L7" s="173"/>
      <c r="M7" s="173"/>
      <c r="N7" s="17" t="s">
        <v>26</v>
      </c>
      <c r="O7" s="19">
        <f t="shared" si="3"/>
        <v>45922</v>
      </c>
      <c r="P7" s="99"/>
      <c r="Q7" s="172" t="s">
        <v>210</v>
      </c>
      <c r="R7" s="172"/>
      <c r="S7" s="172"/>
      <c r="T7" s="17"/>
      <c r="U7" s="17"/>
      <c r="V7" s="158" t="s">
        <v>28</v>
      </c>
      <c r="W7" s="158"/>
      <c r="X7" s="158"/>
      <c r="Y7" s="99"/>
      <c r="Z7" s="19">
        <f t="shared" si="4"/>
        <v>45923</v>
      </c>
      <c r="AA7" s="26" t="s">
        <v>162</v>
      </c>
      <c r="AB7" s="171" t="s">
        <v>66</v>
      </c>
      <c r="AC7" s="171"/>
      <c r="AD7" s="171"/>
      <c r="AE7" s="26"/>
      <c r="AF7" s="171" t="s">
        <v>65</v>
      </c>
      <c r="AG7" s="171"/>
      <c r="AH7" s="171"/>
      <c r="AI7" s="26" t="s">
        <v>162</v>
      </c>
      <c r="AJ7" s="26"/>
      <c r="AK7" s="19">
        <f t="shared" si="5"/>
        <v>45924</v>
      </c>
      <c r="AL7" s="26" t="s">
        <v>162</v>
      </c>
      <c r="AM7" s="171" t="s">
        <v>65</v>
      </c>
      <c r="AN7" s="171"/>
      <c r="AO7" s="171"/>
      <c r="AP7" s="26"/>
      <c r="AQ7" s="171" t="s">
        <v>65</v>
      </c>
      <c r="AR7" s="171"/>
      <c r="AS7" s="171"/>
      <c r="AT7" s="26" t="s">
        <v>162</v>
      </c>
      <c r="AU7" s="26"/>
      <c r="AV7" s="19">
        <f t="shared" si="6"/>
        <v>45925</v>
      </c>
      <c r="AW7" s="90"/>
      <c r="AX7" s="170" t="s">
        <v>189</v>
      </c>
      <c r="AY7" s="170"/>
      <c r="AZ7" s="170"/>
      <c r="BA7" s="90"/>
      <c r="BB7" s="90"/>
      <c r="BC7" s="90"/>
      <c r="BD7" s="90"/>
      <c r="BE7" s="90"/>
      <c r="BF7" s="123" t="s">
        <v>39</v>
      </c>
    </row>
    <row r="8" spans="1:66" ht="90.6" customHeight="1" x14ac:dyDescent="0.25">
      <c r="A8" s="15">
        <f t="shared" si="2"/>
        <v>45928</v>
      </c>
      <c r="B8" s="15">
        <f t="shared" si="1"/>
        <v>45932</v>
      </c>
      <c r="D8" s="24">
        <f t="shared" si="0"/>
        <v>45928</v>
      </c>
      <c r="E8" s="17"/>
      <c r="F8" s="158" t="s">
        <v>27</v>
      </c>
      <c r="G8" s="158"/>
      <c r="H8" s="158"/>
      <c r="I8" s="17"/>
      <c r="J8" s="17"/>
      <c r="K8" s="170" t="s">
        <v>60</v>
      </c>
      <c r="L8" s="170"/>
      <c r="M8" s="170"/>
      <c r="N8" s="17"/>
      <c r="O8" s="19">
        <f t="shared" si="3"/>
        <v>45929</v>
      </c>
      <c r="P8" s="17"/>
      <c r="Q8" s="158" t="s">
        <v>154</v>
      </c>
      <c r="R8" s="163"/>
      <c r="S8" s="163"/>
      <c r="T8" s="17"/>
      <c r="U8" s="17"/>
      <c r="V8" s="158" t="s">
        <v>28</v>
      </c>
      <c r="W8" s="158"/>
      <c r="X8" s="158"/>
      <c r="Y8" s="99"/>
      <c r="Z8" s="19">
        <f t="shared" si="4"/>
        <v>45930</v>
      </c>
      <c r="AB8" s="106" t="s">
        <v>26</v>
      </c>
      <c r="AC8" s="164" t="s">
        <v>46</v>
      </c>
      <c r="AD8" s="164"/>
      <c r="AE8" s="164"/>
      <c r="AF8" s="17"/>
      <c r="AG8" s="172" t="s">
        <v>210</v>
      </c>
      <c r="AH8" s="172"/>
      <c r="AI8" s="172"/>
      <c r="AJ8" s="17"/>
      <c r="AK8" s="19">
        <f t="shared" si="5"/>
        <v>45931</v>
      </c>
      <c r="AL8" s="106" t="s">
        <v>26</v>
      </c>
      <c r="AM8" s="169" t="s">
        <v>30</v>
      </c>
      <c r="AN8" s="169"/>
      <c r="AO8" s="169"/>
      <c r="AP8" s="79"/>
      <c r="AQ8" s="169" t="s">
        <v>30</v>
      </c>
      <c r="AR8" s="169"/>
      <c r="AS8" s="169"/>
      <c r="AT8" s="169"/>
      <c r="AU8" s="17" t="s">
        <v>182</v>
      </c>
      <c r="AV8" s="19">
        <f t="shared" si="6"/>
        <v>45932</v>
      </c>
      <c r="AW8" s="90"/>
      <c r="AX8" s="170" t="s">
        <v>189</v>
      </c>
      <c r="AY8" s="170"/>
      <c r="AZ8" s="170"/>
      <c r="BA8" s="170"/>
      <c r="BB8" s="90"/>
      <c r="BC8" s="172" t="s">
        <v>210</v>
      </c>
      <c r="BD8" s="172"/>
      <c r="BE8" s="172"/>
      <c r="BF8" s="52"/>
      <c r="BH8" s="160" t="s">
        <v>75</v>
      </c>
      <c r="BI8" s="160"/>
      <c r="BJ8" s="160"/>
      <c r="BK8" s="160"/>
      <c r="BL8" s="106" t="s">
        <v>160</v>
      </c>
    </row>
    <row r="9" spans="1:66" ht="89.25" customHeight="1" x14ac:dyDescent="0.25">
      <c r="A9" s="15">
        <f t="shared" si="2"/>
        <v>45935</v>
      </c>
      <c r="B9" s="15">
        <f t="shared" si="1"/>
        <v>45939</v>
      </c>
      <c r="D9" s="24">
        <f t="shared" si="0"/>
        <v>45935</v>
      </c>
      <c r="E9" s="17"/>
      <c r="F9" s="158" t="s">
        <v>27</v>
      </c>
      <c r="G9" s="158"/>
      <c r="H9" s="158"/>
      <c r="I9" s="17"/>
      <c r="J9" s="17"/>
      <c r="K9" s="173" t="s">
        <v>179</v>
      </c>
      <c r="L9" s="173"/>
      <c r="M9" s="173"/>
      <c r="N9" s="17" t="s">
        <v>26</v>
      </c>
      <c r="O9" s="19">
        <f t="shared" si="3"/>
        <v>45936</v>
      </c>
      <c r="P9" s="17"/>
      <c r="Q9" s="158" t="s">
        <v>154</v>
      </c>
      <c r="R9" s="163"/>
      <c r="S9" s="163"/>
      <c r="T9" s="17"/>
      <c r="U9" s="17"/>
      <c r="V9" s="158" t="s">
        <v>28</v>
      </c>
      <c r="W9" s="158"/>
      <c r="X9" s="158"/>
      <c r="Y9" s="99"/>
      <c r="Z9" s="19">
        <f t="shared" si="4"/>
        <v>45937</v>
      </c>
      <c r="AA9" s="99"/>
      <c r="AB9" s="172" t="s">
        <v>210</v>
      </c>
      <c r="AC9" s="172"/>
      <c r="AD9" s="172"/>
      <c r="AE9" s="17"/>
      <c r="AF9" s="17"/>
      <c r="AG9" s="172" t="s">
        <v>210</v>
      </c>
      <c r="AH9" s="172"/>
      <c r="AI9" s="172"/>
      <c r="AJ9" s="17"/>
      <c r="AK9" s="19">
        <f t="shared" si="5"/>
        <v>45938</v>
      </c>
      <c r="AL9" s="168" t="s">
        <v>200</v>
      </c>
      <c r="AM9" s="168"/>
      <c r="AN9" s="168"/>
      <c r="AO9" s="168"/>
      <c r="AP9" s="106" t="s">
        <v>191</v>
      </c>
      <c r="AR9" s="169" t="s">
        <v>168</v>
      </c>
      <c r="AS9" s="169"/>
      <c r="AT9" s="169"/>
      <c r="AU9" s="17" t="s">
        <v>167</v>
      </c>
      <c r="AV9" s="19">
        <f t="shared" si="6"/>
        <v>45939</v>
      </c>
      <c r="AW9" s="53"/>
      <c r="AX9" s="170" t="s">
        <v>190</v>
      </c>
      <c r="AY9" s="170"/>
      <c r="AZ9" s="170"/>
      <c r="BA9" s="170"/>
      <c r="BB9" s="53"/>
      <c r="BC9" s="172" t="s">
        <v>210</v>
      </c>
      <c r="BD9" s="172"/>
      <c r="BE9" s="172"/>
      <c r="BF9" s="52"/>
    </row>
    <row r="10" spans="1:66" ht="73.900000000000006" customHeight="1" x14ac:dyDescent="0.25">
      <c r="A10" s="15">
        <f t="shared" si="2"/>
        <v>45942</v>
      </c>
      <c r="B10" s="15">
        <f t="shared" si="1"/>
        <v>45946</v>
      </c>
      <c r="D10" s="24">
        <f t="shared" si="0"/>
        <v>45942</v>
      </c>
      <c r="E10" s="17"/>
      <c r="F10" s="158" t="s">
        <v>27</v>
      </c>
      <c r="G10" s="158"/>
      <c r="H10" s="158"/>
      <c r="I10" s="17"/>
      <c r="J10" s="17"/>
      <c r="K10" s="170" t="s">
        <v>60</v>
      </c>
      <c r="L10" s="170"/>
      <c r="M10" s="170"/>
      <c r="N10" s="17"/>
      <c r="O10" s="19">
        <f t="shared" si="3"/>
        <v>45943</v>
      </c>
      <c r="P10" s="17"/>
      <c r="Q10" s="158" t="s">
        <v>155</v>
      </c>
      <c r="R10" s="163"/>
      <c r="S10" s="163"/>
      <c r="T10" s="17"/>
      <c r="U10" s="17"/>
      <c r="V10" s="158" t="s">
        <v>28</v>
      </c>
      <c r="W10" s="158"/>
      <c r="X10" s="158"/>
      <c r="Y10" s="17"/>
      <c r="Z10" s="19">
        <f t="shared" si="4"/>
        <v>45944</v>
      </c>
      <c r="AA10" s="106" t="s">
        <v>26</v>
      </c>
      <c r="AB10" s="169" t="s">
        <v>47</v>
      </c>
      <c r="AC10" s="169"/>
      <c r="AD10" s="169"/>
      <c r="AE10" s="90"/>
      <c r="AF10" s="90"/>
      <c r="AG10" s="169" t="s">
        <v>48</v>
      </c>
      <c r="AH10" s="169"/>
      <c r="AI10" s="169"/>
      <c r="AJ10" s="91" t="s">
        <v>26</v>
      </c>
      <c r="AK10" s="19">
        <f t="shared" si="5"/>
        <v>45945</v>
      </c>
      <c r="AL10" s="17" t="s">
        <v>26</v>
      </c>
      <c r="AM10" s="169" t="s">
        <v>47</v>
      </c>
      <c r="AN10" s="169"/>
      <c r="AO10" s="169"/>
      <c r="AP10" s="53"/>
      <c r="AQ10" s="169" t="s">
        <v>48</v>
      </c>
      <c r="AR10" s="169"/>
      <c r="AS10" s="169"/>
      <c r="AT10" s="106" t="s">
        <v>26</v>
      </c>
      <c r="AV10" s="19">
        <f t="shared" si="6"/>
        <v>45946</v>
      </c>
      <c r="AW10" s="174" t="s">
        <v>89</v>
      </c>
      <c r="AX10" s="174"/>
      <c r="AY10" s="174"/>
      <c r="AZ10" s="174"/>
      <c r="BA10" s="174"/>
      <c r="BB10" s="174"/>
      <c r="BC10" s="174"/>
      <c r="BD10" s="174"/>
      <c r="BE10" s="174"/>
      <c r="BF10" s="52"/>
    </row>
    <row r="11" spans="1:66" ht="89.25" customHeight="1" x14ac:dyDescent="0.25">
      <c r="A11" s="15">
        <f t="shared" si="2"/>
        <v>45949</v>
      </c>
      <c r="B11" s="15">
        <f t="shared" si="1"/>
        <v>45953</v>
      </c>
      <c r="C11" s="26" t="s">
        <v>39</v>
      </c>
      <c r="D11" s="24">
        <f t="shared" si="0"/>
        <v>45949</v>
      </c>
      <c r="E11" s="170" t="s">
        <v>190</v>
      </c>
      <c r="F11" s="170"/>
      <c r="G11" s="170"/>
      <c r="H11" s="170"/>
      <c r="J11" s="17"/>
      <c r="K11" s="173" t="s">
        <v>179</v>
      </c>
      <c r="L11" s="173"/>
      <c r="M11" s="173"/>
      <c r="N11" s="173"/>
      <c r="O11" s="19">
        <f t="shared" si="3"/>
        <v>45950</v>
      </c>
      <c r="Q11" s="158" t="s">
        <v>154</v>
      </c>
      <c r="R11" s="163"/>
      <c r="S11" s="163"/>
      <c r="V11" s="170" t="s">
        <v>185</v>
      </c>
      <c r="W11" s="170"/>
      <c r="X11" s="98" t="s">
        <v>180</v>
      </c>
      <c r="Y11" s="106" t="s">
        <v>26</v>
      </c>
      <c r="Z11" s="19">
        <f t="shared" si="4"/>
        <v>45951</v>
      </c>
      <c r="AA11" s="207" t="s">
        <v>173</v>
      </c>
      <c r="AB11" s="207"/>
      <c r="AC11" s="207"/>
      <c r="AD11" s="207"/>
      <c r="AE11" s="26"/>
      <c r="AF11" s="26"/>
      <c r="AG11" s="172" t="s">
        <v>68</v>
      </c>
      <c r="AH11" s="172"/>
      <c r="AI11" s="172"/>
      <c r="AJ11" s="26"/>
      <c r="AK11" s="19">
        <f t="shared" si="5"/>
        <v>45952</v>
      </c>
      <c r="AL11" s="26" t="s">
        <v>192</v>
      </c>
      <c r="AM11" s="171" t="s">
        <v>65</v>
      </c>
      <c r="AN11" s="171"/>
      <c r="AO11" s="171"/>
      <c r="AP11" s="26"/>
      <c r="AQ11" s="171" t="s">
        <v>174</v>
      </c>
      <c r="AR11" s="171"/>
      <c r="AS11" s="171"/>
      <c r="AT11" s="26" t="s">
        <v>26</v>
      </c>
      <c r="AU11" s="26"/>
      <c r="AV11" s="19">
        <f t="shared" si="6"/>
        <v>45953</v>
      </c>
      <c r="AW11" s="53"/>
      <c r="AX11" s="170" t="s">
        <v>190</v>
      </c>
      <c r="AY11" s="170"/>
      <c r="AZ11" s="170"/>
      <c r="BA11" s="170"/>
      <c r="BB11" s="53"/>
      <c r="BC11" s="172" t="s">
        <v>210</v>
      </c>
      <c r="BD11" s="172"/>
      <c r="BE11" s="172"/>
      <c r="BF11" s="123" t="s">
        <v>39</v>
      </c>
    </row>
    <row r="12" spans="1:66" ht="48.75" customHeight="1" x14ac:dyDescent="0.25">
      <c r="A12" s="15">
        <f t="shared" si="2"/>
        <v>45956</v>
      </c>
      <c r="B12" s="15">
        <f t="shared" si="1"/>
        <v>45960</v>
      </c>
      <c r="C12" s="106" t="s">
        <v>153</v>
      </c>
      <c r="D12" s="24">
        <f t="shared" si="0"/>
        <v>45956</v>
      </c>
      <c r="E12" s="176" t="s">
        <v>44</v>
      </c>
      <c r="F12" s="176"/>
      <c r="G12" s="176"/>
      <c r="H12" s="176"/>
      <c r="I12" s="176"/>
      <c r="J12" s="176" t="s">
        <v>44</v>
      </c>
      <c r="K12" s="176"/>
      <c r="L12" s="176"/>
      <c r="M12" s="176"/>
      <c r="N12" s="176"/>
      <c r="O12" s="19">
        <f t="shared" si="3"/>
        <v>45957</v>
      </c>
      <c r="P12" s="176" t="s">
        <v>44</v>
      </c>
      <c r="Q12" s="176"/>
      <c r="R12" s="176"/>
      <c r="S12" s="176"/>
      <c r="T12" s="176"/>
      <c r="U12" s="176" t="s">
        <v>44</v>
      </c>
      <c r="V12" s="176"/>
      <c r="W12" s="176"/>
      <c r="X12" s="176"/>
      <c r="Y12" s="176"/>
      <c r="Z12" s="19">
        <f t="shared" si="4"/>
        <v>45958</v>
      </c>
      <c r="AA12" s="176" t="s">
        <v>44</v>
      </c>
      <c r="AB12" s="176"/>
      <c r="AC12" s="176"/>
      <c r="AD12" s="176"/>
      <c r="AE12" s="176"/>
      <c r="AF12" s="176" t="s">
        <v>44</v>
      </c>
      <c r="AG12" s="176"/>
      <c r="AH12" s="176"/>
      <c r="AI12" s="176"/>
      <c r="AJ12" s="176"/>
      <c r="AK12" s="19">
        <f t="shared" si="5"/>
        <v>45959</v>
      </c>
      <c r="AL12" s="176" t="s">
        <v>44</v>
      </c>
      <c r="AM12" s="176"/>
      <c r="AN12" s="176"/>
      <c r="AO12" s="176"/>
      <c r="AP12" s="176"/>
      <c r="AQ12" s="176" t="s">
        <v>44</v>
      </c>
      <c r="AR12" s="176"/>
      <c r="AS12" s="176"/>
      <c r="AT12" s="176"/>
      <c r="AU12" s="176"/>
      <c r="AV12" s="19">
        <f t="shared" si="6"/>
        <v>45960</v>
      </c>
      <c r="AW12" s="176" t="s">
        <v>44</v>
      </c>
      <c r="AX12" s="176"/>
      <c r="AY12" s="176"/>
      <c r="AZ12" s="176"/>
      <c r="BA12" s="176"/>
      <c r="BB12" s="176"/>
      <c r="BC12" s="176"/>
      <c r="BD12" s="176"/>
      <c r="BE12" s="176"/>
      <c r="BF12" s="52"/>
    </row>
    <row r="13" spans="1:66" ht="75" customHeight="1" x14ac:dyDescent="0.25">
      <c r="A13" s="15">
        <f t="shared" si="2"/>
        <v>45963</v>
      </c>
      <c r="B13" s="15">
        <f t="shared" si="1"/>
        <v>45967</v>
      </c>
      <c r="D13" s="24">
        <f t="shared" si="0"/>
        <v>45963</v>
      </c>
      <c r="E13" s="99"/>
      <c r="F13" s="158" t="s">
        <v>177</v>
      </c>
      <c r="G13" s="158"/>
      <c r="H13" s="158"/>
      <c r="I13" s="17" t="s">
        <v>26</v>
      </c>
      <c r="J13" s="17"/>
      <c r="K13" s="170" t="s">
        <v>198</v>
      </c>
      <c r="L13" s="170"/>
      <c r="M13" s="170"/>
      <c r="N13" s="170"/>
      <c r="O13" s="19">
        <f t="shared" si="3"/>
        <v>45964</v>
      </c>
      <c r="P13" s="99"/>
      <c r="Q13" s="158" t="s">
        <v>154</v>
      </c>
      <c r="R13" s="158"/>
      <c r="S13" s="158"/>
      <c r="T13" s="74"/>
      <c r="U13" s="74"/>
      <c r="V13" s="172" t="s">
        <v>210</v>
      </c>
      <c r="W13" s="172"/>
      <c r="X13" s="172"/>
      <c r="Y13" s="99"/>
      <c r="Z13" s="19">
        <f t="shared" si="4"/>
        <v>45965</v>
      </c>
      <c r="AA13" s="169" t="s">
        <v>165</v>
      </c>
      <c r="AB13" s="169"/>
      <c r="AC13" s="169"/>
      <c r="AD13" s="106" t="s">
        <v>26</v>
      </c>
      <c r="AE13" s="99"/>
      <c r="AF13" s="99" t="s">
        <v>26</v>
      </c>
      <c r="AG13" s="210" t="s">
        <v>208</v>
      </c>
      <c r="AH13" s="210"/>
      <c r="AI13" s="210"/>
      <c r="AJ13" s="99"/>
      <c r="AK13" s="19">
        <f t="shared" si="5"/>
        <v>45966</v>
      </c>
      <c r="AL13" s="17" t="s">
        <v>166</v>
      </c>
      <c r="AM13" s="161" t="s">
        <v>51</v>
      </c>
      <c r="AN13" s="162"/>
      <c r="AO13" s="162"/>
      <c r="AP13" s="99"/>
      <c r="AQ13" s="161" t="s">
        <v>51</v>
      </c>
      <c r="AR13" s="162"/>
      <c r="AS13" s="162"/>
      <c r="AT13" s="106" t="s">
        <v>167</v>
      </c>
      <c r="AV13" s="19">
        <f t="shared" si="6"/>
        <v>45967</v>
      </c>
      <c r="AW13" s="17"/>
      <c r="AX13" s="181" t="s">
        <v>98</v>
      </c>
      <c r="AY13" s="181"/>
      <c r="AZ13" s="181"/>
      <c r="BA13" s="181"/>
      <c r="BB13" s="17"/>
      <c r="BC13" s="172" t="s">
        <v>210</v>
      </c>
      <c r="BD13" s="172"/>
      <c r="BE13" s="172"/>
      <c r="BF13" s="52"/>
    </row>
    <row r="14" spans="1:66" ht="72" customHeight="1" x14ac:dyDescent="0.25">
      <c r="A14" s="15">
        <f t="shared" si="2"/>
        <v>45970</v>
      </c>
      <c r="B14" s="15">
        <f t="shared" si="1"/>
        <v>45974</v>
      </c>
      <c r="C14" s="23"/>
      <c r="D14" s="24">
        <f t="shared" si="0"/>
        <v>45970</v>
      </c>
      <c r="E14" s="99"/>
      <c r="F14" s="158" t="s">
        <v>177</v>
      </c>
      <c r="G14" s="158"/>
      <c r="H14" s="158"/>
      <c r="I14" s="17" t="s">
        <v>26</v>
      </c>
      <c r="J14" s="17"/>
      <c r="K14" s="172" t="s">
        <v>210</v>
      </c>
      <c r="L14" s="172"/>
      <c r="M14" s="172"/>
      <c r="N14" s="17"/>
      <c r="O14" s="19">
        <f t="shared" si="3"/>
        <v>45971</v>
      </c>
      <c r="P14" s="74"/>
      <c r="Q14" s="184" t="s">
        <v>109</v>
      </c>
      <c r="R14" s="184"/>
      <c r="S14" s="74" t="s">
        <v>162</v>
      </c>
      <c r="T14" s="74"/>
      <c r="U14" s="74"/>
      <c r="V14" s="172" t="s">
        <v>210</v>
      </c>
      <c r="W14" s="172"/>
      <c r="X14" s="172"/>
      <c r="Y14" s="74"/>
      <c r="Z14" s="19">
        <f t="shared" si="4"/>
        <v>45972</v>
      </c>
      <c r="AA14" s="176" t="s">
        <v>54</v>
      </c>
      <c r="AB14" s="176"/>
      <c r="AC14" s="176"/>
      <c r="AD14" s="176"/>
      <c r="AE14" s="176"/>
      <c r="AF14" s="176"/>
      <c r="AG14" s="176"/>
      <c r="AH14" s="176"/>
      <c r="AI14" s="176"/>
      <c r="AJ14" s="176"/>
      <c r="AK14" s="19">
        <f t="shared" si="5"/>
        <v>45973</v>
      </c>
      <c r="AM14" s="164" t="s">
        <v>201</v>
      </c>
      <c r="AN14" s="164"/>
      <c r="AP14" s="106" t="s">
        <v>26</v>
      </c>
      <c r="AQ14" s="169" t="s">
        <v>33</v>
      </c>
      <c r="AR14" s="169"/>
      <c r="AS14" s="169"/>
      <c r="AT14" s="169"/>
      <c r="AU14" s="169"/>
      <c r="AV14" s="19">
        <f t="shared" si="6"/>
        <v>45974</v>
      </c>
      <c r="AW14" s="108" t="s">
        <v>167</v>
      </c>
      <c r="AX14" s="178" t="s">
        <v>64</v>
      </c>
      <c r="AY14" s="179"/>
      <c r="AZ14" s="179"/>
      <c r="BA14" s="179"/>
      <c r="BB14" s="17"/>
      <c r="BC14" s="172" t="s">
        <v>210</v>
      </c>
      <c r="BD14" s="172"/>
      <c r="BE14" s="172"/>
      <c r="BF14" s="124"/>
      <c r="BH14" s="174" t="s">
        <v>140</v>
      </c>
      <c r="BI14" s="174"/>
      <c r="BJ14" s="174"/>
    </row>
    <row r="15" spans="1:66" ht="60" customHeight="1" x14ac:dyDescent="0.25">
      <c r="A15" s="15">
        <f t="shared" si="2"/>
        <v>45977</v>
      </c>
      <c r="B15" s="15">
        <f t="shared" si="1"/>
        <v>45981</v>
      </c>
      <c r="C15" s="23"/>
      <c r="D15" s="24">
        <f t="shared" si="0"/>
        <v>45977</v>
      </c>
      <c r="E15" s="158" t="s">
        <v>177</v>
      </c>
      <c r="F15" s="158"/>
      <c r="G15" s="158"/>
      <c r="H15" s="158"/>
      <c r="I15" s="17" t="s">
        <v>26</v>
      </c>
      <c r="J15" s="17"/>
      <c r="K15" s="172" t="s">
        <v>210</v>
      </c>
      <c r="L15" s="172"/>
      <c r="M15" s="172"/>
      <c r="N15" s="17"/>
      <c r="O15" s="19">
        <f t="shared" si="3"/>
        <v>45978</v>
      </c>
      <c r="P15" s="17"/>
      <c r="Q15" s="184" t="s">
        <v>129</v>
      </c>
      <c r="R15" s="211"/>
      <c r="S15" s="17" t="s">
        <v>162</v>
      </c>
      <c r="T15" s="17"/>
      <c r="U15" s="17"/>
      <c r="V15" s="172" t="s">
        <v>210</v>
      </c>
      <c r="W15" s="172"/>
      <c r="X15" s="172"/>
      <c r="Y15" s="17"/>
      <c r="Z15" s="19">
        <f t="shared" si="4"/>
        <v>45979</v>
      </c>
      <c r="AA15" s="169" t="s">
        <v>165</v>
      </c>
      <c r="AB15" s="169"/>
      <c r="AC15" s="169"/>
      <c r="AD15" s="99" t="s">
        <v>26</v>
      </c>
      <c r="AE15" s="99"/>
      <c r="AF15" s="99" t="s">
        <v>26</v>
      </c>
      <c r="AG15" s="210" t="s">
        <v>208</v>
      </c>
      <c r="AH15" s="210"/>
      <c r="AI15" s="183"/>
      <c r="AJ15" s="183"/>
      <c r="AK15" s="19">
        <f t="shared" si="5"/>
        <v>45980</v>
      </c>
      <c r="AL15" s="74" t="s">
        <v>167</v>
      </c>
      <c r="AM15" s="164" t="s">
        <v>145</v>
      </c>
      <c r="AN15" s="164"/>
      <c r="AO15" s="17" t="s">
        <v>26</v>
      </c>
      <c r="AP15" s="169" t="s">
        <v>33</v>
      </c>
      <c r="AQ15" s="169"/>
      <c r="AR15" s="169"/>
      <c r="AS15" s="169"/>
      <c r="AT15" s="169"/>
      <c r="AU15" s="55" t="s">
        <v>77</v>
      </c>
      <c r="AV15" s="19">
        <f t="shared" si="6"/>
        <v>45981</v>
      </c>
      <c r="AW15" s="108" t="s">
        <v>167</v>
      </c>
      <c r="AX15" s="158" t="s">
        <v>35</v>
      </c>
      <c r="AY15" s="163"/>
      <c r="AZ15" s="163"/>
      <c r="BA15" s="163"/>
      <c r="BB15" s="17"/>
      <c r="BC15" s="171" t="s">
        <v>68</v>
      </c>
      <c r="BD15" s="171"/>
      <c r="BE15" s="171"/>
      <c r="BF15" s="124"/>
    </row>
    <row r="16" spans="1:66" ht="72" customHeight="1" x14ac:dyDescent="0.25">
      <c r="A16" s="15">
        <f t="shared" si="2"/>
        <v>45984</v>
      </c>
      <c r="B16" s="15">
        <f t="shared" si="1"/>
        <v>45988</v>
      </c>
      <c r="C16" s="26" t="s">
        <v>39</v>
      </c>
      <c r="D16" s="24">
        <f t="shared" si="0"/>
        <v>45984</v>
      </c>
      <c r="F16" s="170" t="s">
        <v>198</v>
      </c>
      <c r="G16" s="170"/>
      <c r="H16" s="170"/>
      <c r="I16" s="17"/>
      <c r="J16" s="17"/>
      <c r="K16" s="172" t="s">
        <v>210</v>
      </c>
      <c r="L16" s="172"/>
      <c r="M16" s="172"/>
      <c r="N16" s="17"/>
      <c r="O16" s="19">
        <f t="shared" si="3"/>
        <v>45985</v>
      </c>
      <c r="P16" s="17"/>
      <c r="Q16" s="184" t="s">
        <v>110</v>
      </c>
      <c r="R16" s="184"/>
      <c r="S16" s="184"/>
      <c r="T16" s="17" t="s">
        <v>162</v>
      </c>
      <c r="U16" s="17"/>
      <c r="V16" s="184" t="s">
        <v>128</v>
      </c>
      <c r="W16" s="184"/>
      <c r="X16" s="184"/>
      <c r="Y16" s="106" t="s">
        <v>162</v>
      </c>
      <c r="Z16" s="19">
        <f t="shared" si="4"/>
        <v>45986</v>
      </c>
      <c r="AA16" s="169" t="s">
        <v>165</v>
      </c>
      <c r="AB16" s="169"/>
      <c r="AC16" s="169"/>
      <c r="AD16" s="169"/>
      <c r="AE16" s="99" t="s">
        <v>26</v>
      </c>
      <c r="AG16" s="160" t="s">
        <v>86</v>
      </c>
      <c r="AH16" s="187"/>
      <c r="AI16" s="187"/>
      <c r="AJ16" s="83"/>
      <c r="AK16" s="19">
        <f t="shared" si="5"/>
        <v>45987</v>
      </c>
      <c r="AL16" s="207" t="s">
        <v>173</v>
      </c>
      <c r="AM16" s="207"/>
      <c r="AN16" s="207"/>
      <c r="AO16" s="207"/>
      <c r="AP16" s="17" t="s">
        <v>183</v>
      </c>
      <c r="AQ16" s="164" t="s">
        <v>53</v>
      </c>
      <c r="AR16" s="164"/>
      <c r="AS16" s="164" t="s">
        <v>101</v>
      </c>
      <c r="AT16" s="164"/>
      <c r="AU16" s="55" t="s">
        <v>77</v>
      </c>
      <c r="AV16" s="19">
        <f t="shared" si="6"/>
        <v>45988</v>
      </c>
      <c r="AW16" s="108" t="s">
        <v>167</v>
      </c>
      <c r="AX16" s="158" t="s">
        <v>35</v>
      </c>
      <c r="AY16" s="163"/>
      <c r="AZ16" s="163"/>
      <c r="BA16" s="163"/>
      <c r="BB16" s="17"/>
      <c r="BC16" s="171" t="s">
        <v>68</v>
      </c>
      <c r="BD16" s="171"/>
      <c r="BE16" s="171"/>
      <c r="BF16" s="123" t="s">
        <v>39</v>
      </c>
    </row>
    <row r="17" spans="1:66" ht="69" customHeight="1" x14ac:dyDescent="0.25">
      <c r="A17" s="15">
        <f t="shared" si="2"/>
        <v>45991</v>
      </c>
      <c r="B17" s="15">
        <f t="shared" si="1"/>
        <v>45995</v>
      </c>
      <c r="C17" s="28"/>
      <c r="D17" s="24">
        <f t="shared" si="0"/>
        <v>45991</v>
      </c>
      <c r="E17" s="17"/>
      <c r="F17" s="170" t="s">
        <v>209</v>
      </c>
      <c r="G17" s="170"/>
      <c r="H17" s="170"/>
      <c r="I17" s="17"/>
      <c r="J17" s="17"/>
      <c r="K17" s="172" t="s">
        <v>210</v>
      </c>
      <c r="L17" s="172"/>
      <c r="M17" s="172"/>
      <c r="N17" s="17"/>
      <c r="O17" s="19">
        <f t="shared" si="3"/>
        <v>45992</v>
      </c>
      <c r="Q17" s="184" t="s">
        <v>141</v>
      </c>
      <c r="R17" s="184"/>
      <c r="S17" s="106" t="s">
        <v>162</v>
      </c>
      <c r="V17" s="172" t="s">
        <v>210</v>
      </c>
      <c r="W17" s="172"/>
      <c r="X17" s="172"/>
      <c r="Z17" s="19">
        <f t="shared" si="4"/>
        <v>45993</v>
      </c>
      <c r="AA17" s="26"/>
      <c r="AB17" s="185" t="s">
        <v>159</v>
      </c>
      <c r="AC17" s="186"/>
      <c r="AD17" s="100"/>
      <c r="AE17" s="185" t="s">
        <v>120</v>
      </c>
      <c r="AF17" s="186"/>
      <c r="AG17" s="26"/>
      <c r="AH17" s="26"/>
      <c r="AI17" s="26"/>
      <c r="AJ17" s="26"/>
      <c r="AK17" s="19">
        <f t="shared" si="5"/>
        <v>45994</v>
      </c>
      <c r="AL17" s="26"/>
      <c r="AM17" s="158" t="s">
        <v>175</v>
      </c>
      <c r="AN17" s="158"/>
      <c r="AO17" s="158"/>
      <c r="AP17" s="26"/>
      <c r="AQ17" s="26"/>
      <c r="AR17" s="158" t="s">
        <v>202</v>
      </c>
      <c r="AS17" s="158"/>
      <c r="AT17" s="26"/>
      <c r="AU17" s="26"/>
      <c r="AV17" s="19">
        <f t="shared" si="6"/>
        <v>45995</v>
      </c>
      <c r="AW17" s="108" t="s">
        <v>167</v>
      </c>
      <c r="AX17" s="158" t="s">
        <v>35</v>
      </c>
      <c r="AY17" s="163"/>
      <c r="AZ17" s="163"/>
      <c r="BA17" s="163"/>
      <c r="BB17" s="17"/>
      <c r="BC17" s="171" t="s">
        <v>68</v>
      </c>
      <c r="BD17" s="171"/>
      <c r="BE17" s="171"/>
      <c r="BF17" s="52"/>
      <c r="BG17" s="59" t="s">
        <v>114</v>
      </c>
      <c r="BK17" s="59"/>
    </row>
    <row r="18" spans="1:66" ht="94.15" customHeight="1" x14ac:dyDescent="0.25">
      <c r="A18" s="15">
        <f t="shared" si="2"/>
        <v>45998</v>
      </c>
      <c r="B18" s="15">
        <f t="shared" si="1"/>
        <v>46002</v>
      </c>
      <c r="C18" s="28"/>
      <c r="D18" s="24">
        <f t="shared" si="0"/>
        <v>45998</v>
      </c>
      <c r="E18" s="17"/>
      <c r="F18" s="172" t="s">
        <v>210</v>
      </c>
      <c r="G18" s="172"/>
      <c r="H18" s="172"/>
      <c r="I18" s="17"/>
      <c r="J18" s="17"/>
      <c r="K18" s="172" t="s">
        <v>210</v>
      </c>
      <c r="L18" s="172"/>
      <c r="M18" s="172"/>
      <c r="N18" s="17"/>
      <c r="O18" s="19">
        <f t="shared" si="3"/>
        <v>45999</v>
      </c>
      <c r="P18" s="164" t="s">
        <v>121</v>
      </c>
      <c r="Q18" s="164"/>
      <c r="R18" s="164"/>
      <c r="S18" s="164"/>
      <c r="T18" s="17" t="s">
        <v>167</v>
      </c>
      <c r="U18" s="17" t="s">
        <v>167</v>
      </c>
      <c r="V18" s="164" t="s">
        <v>123</v>
      </c>
      <c r="W18" s="164"/>
      <c r="X18" s="164"/>
      <c r="Y18" s="164"/>
      <c r="Z18" s="19">
        <f t="shared" si="4"/>
        <v>46000</v>
      </c>
      <c r="AA18" s="17" t="s">
        <v>167</v>
      </c>
      <c r="AB18" s="188" t="s">
        <v>144</v>
      </c>
      <c r="AC18" s="188"/>
      <c r="AD18" s="188"/>
      <c r="AE18" s="188"/>
      <c r="AF18" s="17" t="s">
        <v>167</v>
      </c>
      <c r="AG18" s="188" t="s">
        <v>199</v>
      </c>
      <c r="AH18" s="188"/>
      <c r="AI18" s="188"/>
      <c r="AJ18" s="188"/>
      <c r="AK18" s="19">
        <f t="shared" si="5"/>
        <v>46001</v>
      </c>
      <c r="AL18" s="106" t="s">
        <v>167</v>
      </c>
      <c r="AM18" s="169" t="s">
        <v>76</v>
      </c>
      <c r="AN18" s="169"/>
      <c r="AO18" s="169"/>
      <c r="AQ18" s="207" t="s">
        <v>173</v>
      </c>
      <c r="AR18" s="207"/>
      <c r="AS18" s="207"/>
      <c r="AT18" s="207"/>
      <c r="AV18" s="19">
        <f t="shared" si="6"/>
        <v>46002</v>
      </c>
      <c r="AW18" s="108" t="s">
        <v>167</v>
      </c>
      <c r="AX18" s="158" t="s">
        <v>35</v>
      </c>
      <c r="AY18" s="163"/>
      <c r="AZ18" s="163"/>
      <c r="BA18" s="163"/>
      <c r="BB18" s="17"/>
      <c r="BC18" s="171" t="s">
        <v>68</v>
      </c>
      <c r="BD18" s="171"/>
      <c r="BE18" s="171"/>
      <c r="BF18" s="52"/>
      <c r="BG18" s="164" t="s">
        <v>34</v>
      </c>
      <c r="BH18" s="164"/>
      <c r="BI18" s="164"/>
      <c r="BJ18" s="164"/>
      <c r="BK18" s="164" t="s">
        <v>117</v>
      </c>
      <c r="BL18" s="164"/>
      <c r="BM18" s="164"/>
      <c r="BN18" s="164"/>
    </row>
    <row r="19" spans="1:66" ht="80.25" customHeight="1" x14ac:dyDescent="0.25">
      <c r="A19" s="15">
        <f t="shared" si="2"/>
        <v>46005</v>
      </c>
      <c r="B19" s="15">
        <f t="shared" si="1"/>
        <v>46009</v>
      </c>
      <c r="D19" s="24">
        <f t="shared" si="0"/>
        <v>46005</v>
      </c>
      <c r="E19" s="17"/>
      <c r="F19" s="172" t="s">
        <v>210</v>
      </c>
      <c r="G19" s="172"/>
      <c r="H19" s="172"/>
      <c r="I19" s="17"/>
      <c r="J19" s="17"/>
      <c r="K19" s="172" t="s">
        <v>210</v>
      </c>
      <c r="L19" s="172"/>
      <c r="M19" s="172"/>
      <c r="N19" s="17"/>
      <c r="O19" s="19">
        <f t="shared" si="3"/>
        <v>46006</v>
      </c>
      <c r="P19" s="164" t="s">
        <v>193</v>
      </c>
      <c r="Q19" s="164"/>
      <c r="R19" s="164"/>
      <c r="S19" s="164"/>
      <c r="T19" s="17" t="s">
        <v>162</v>
      </c>
      <c r="U19" s="17" t="s">
        <v>162</v>
      </c>
      <c r="V19" s="164" t="s">
        <v>194</v>
      </c>
      <c r="W19" s="164"/>
      <c r="X19" s="164"/>
      <c r="Y19" s="164"/>
      <c r="Z19" s="19">
        <f t="shared" si="4"/>
        <v>46007</v>
      </c>
      <c r="AA19" s="99" t="s">
        <v>162</v>
      </c>
      <c r="AB19" s="188" t="s">
        <v>195</v>
      </c>
      <c r="AC19" s="188"/>
      <c r="AD19" s="188"/>
      <c r="AE19" s="188"/>
      <c r="AG19" s="169" t="s">
        <v>86</v>
      </c>
      <c r="AH19" s="190"/>
      <c r="AI19" s="190"/>
      <c r="AJ19" s="54"/>
      <c r="AK19" s="19">
        <f t="shared" si="5"/>
        <v>46008</v>
      </c>
      <c r="AL19" s="108" t="s">
        <v>167</v>
      </c>
      <c r="AM19" s="160" t="s">
        <v>206</v>
      </c>
      <c r="AN19" s="187"/>
      <c r="AO19" s="187"/>
      <c r="AP19" s="108"/>
      <c r="AQ19" s="108"/>
      <c r="AR19" s="160" t="s">
        <v>207</v>
      </c>
      <c r="AS19" s="187"/>
      <c r="AT19" s="187"/>
      <c r="AU19" s="108" t="s">
        <v>167</v>
      </c>
      <c r="AV19" s="19">
        <f t="shared" si="6"/>
        <v>46009</v>
      </c>
      <c r="AW19" s="108" t="s">
        <v>167</v>
      </c>
      <c r="AX19" s="158" t="s">
        <v>35</v>
      </c>
      <c r="AY19" s="163"/>
      <c r="AZ19" s="163"/>
      <c r="BA19" s="163"/>
      <c r="BB19" s="17"/>
      <c r="BF19" s="52"/>
      <c r="BG19" s="58" t="s">
        <v>111</v>
      </c>
    </row>
    <row r="20" spans="1:66" ht="29.25" customHeight="1" x14ac:dyDescent="0.25">
      <c r="A20" s="15">
        <f t="shared" si="2"/>
        <v>46012</v>
      </c>
      <c r="B20" s="15">
        <f t="shared" si="1"/>
        <v>46016</v>
      </c>
      <c r="D20" s="24">
        <f t="shared" si="0"/>
        <v>46012</v>
      </c>
      <c r="E20" s="176" t="s">
        <v>44</v>
      </c>
      <c r="F20" s="176"/>
      <c r="G20" s="176"/>
      <c r="H20" s="176"/>
      <c r="I20" s="176"/>
      <c r="J20" s="176" t="s">
        <v>44</v>
      </c>
      <c r="K20" s="176"/>
      <c r="L20" s="176"/>
      <c r="M20" s="176"/>
      <c r="N20" s="176"/>
      <c r="O20" s="19">
        <f t="shared" si="3"/>
        <v>46013</v>
      </c>
      <c r="P20" s="176" t="s">
        <v>44</v>
      </c>
      <c r="Q20" s="176"/>
      <c r="R20" s="176"/>
      <c r="S20" s="176"/>
      <c r="T20" s="176"/>
      <c r="U20" s="176" t="s">
        <v>44</v>
      </c>
      <c r="V20" s="176"/>
      <c r="W20" s="176"/>
      <c r="X20" s="176"/>
      <c r="Y20" s="176"/>
      <c r="Z20" s="19">
        <f t="shared" si="4"/>
        <v>46014</v>
      </c>
      <c r="AA20" s="176" t="s">
        <v>44</v>
      </c>
      <c r="AB20" s="176"/>
      <c r="AC20" s="176"/>
      <c r="AD20" s="176"/>
      <c r="AE20" s="176"/>
      <c r="AF20" s="176" t="s">
        <v>44</v>
      </c>
      <c r="AG20" s="176"/>
      <c r="AH20" s="176"/>
      <c r="AI20" s="176"/>
      <c r="AJ20" s="176"/>
      <c r="AK20" s="19">
        <f t="shared" si="5"/>
        <v>46015</v>
      </c>
      <c r="AL20" s="176" t="s">
        <v>44</v>
      </c>
      <c r="AM20" s="176"/>
      <c r="AN20" s="176"/>
      <c r="AO20" s="176"/>
      <c r="AP20" s="176"/>
      <c r="AQ20" s="176" t="s">
        <v>44</v>
      </c>
      <c r="AR20" s="176"/>
      <c r="AS20" s="176"/>
      <c r="AT20" s="176"/>
      <c r="AU20" s="176"/>
      <c r="AV20" s="19">
        <f t="shared" si="6"/>
        <v>46016</v>
      </c>
      <c r="AW20" s="176" t="s">
        <v>44</v>
      </c>
      <c r="AX20" s="176"/>
      <c r="AY20" s="176"/>
      <c r="AZ20" s="176"/>
      <c r="BA20" s="176"/>
      <c r="BB20" s="176"/>
      <c r="BC20" s="176"/>
      <c r="BD20" s="176"/>
      <c r="BE20" s="176"/>
      <c r="BF20" s="52"/>
    </row>
    <row r="21" spans="1:66" ht="32.25" customHeight="1" x14ac:dyDescent="0.25">
      <c r="A21" s="15">
        <f t="shared" si="2"/>
        <v>46019</v>
      </c>
      <c r="B21" s="15">
        <f t="shared" si="1"/>
        <v>46023</v>
      </c>
      <c r="D21" s="24">
        <f t="shared" si="0"/>
        <v>46019</v>
      </c>
      <c r="E21" s="176" t="s">
        <v>44</v>
      </c>
      <c r="F21" s="176"/>
      <c r="G21" s="176"/>
      <c r="H21" s="176"/>
      <c r="I21" s="176"/>
      <c r="J21" s="176" t="s">
        <v>44</v>
      </c>
      <c r="K21" s="176"/>
      <c r="L21" s="176"/>
      <c r="M21" s="176"/>
      <c r="N21" s="176"/>
      <c r="O21" s="19">
        <f t="shared" si="3"/>
        <v>46020</v>
      </c>
      <c r="P21" s="176" t="s">
        <v>44</v>
      </c>
      <c r="Q21" s="176"/>
      <c r="R21" s="176"/>
      <c r="S21" s="176"/>
      <c r="T21" s="176"/>
      <c r="U21" s="176" t="s">
        <v>44</v>
      </c>
      <c r="V21" s="176"/>
      <c r="W21" s="176"/>
      <c r="X21" s="176"/>
      <c r="Y21" s="176"/>
      <c r="Z21" s="19">
        <f t="shared" si="4"/>
        <v>46021</v>
      </c>
      <c r="AA21" s="176" t="s">
        <v>44</v>
      </c>
      <c r="AB21" s="176"/>
      <c r="AC21" s="176"/>
      <c r="AD21" s="176"/>
      <c r="AE21" s="176"/>
      <c r="AF21" s="176" t="s">
        <v>44</v>
      </c>
      <c r="AG21" s="176"/>
      <c r="AH21" s="176"/>
      <c r="AI21" s="176"/>
      <c r="AJ21" s="176"/>
      <c r="AK21" s="19">
        <f t="shared" si="5"/>
        <v>46022</v>
      </c>
      <c r="AL21" s="176" t="s">
        <v>44</v>
      </c>
      <c r="AM21" s="176"/>
      <c r="AN21" s="176"/>
      <c r="AO21" s="176"/>
      <c r="AP21" s="176"/>
      <c r="AQ21" s="176" t="s">
        <v>44</v>
      </c>
      <c r="AR21" s="176"/>
      <c r="AS21" s="176"/>
      <c r="AT21" s="176"/>
      <c r="AU21" s="176"/>
      <c r="AV21" s="19">
        <f t="shared" si="6"/>
        <v>46023</v>
      </c>
      <c r="AW21" s="176" t="s">
        <v>44</v>
      </c>
      <c r="AX21" s="176"/>
      <c r="AY21" s="176"/>
      <c r="AZ21" s="176"/>
      <c r="BA21" s="176"/>
      <c r="BB21" s="176"/>
      <c r="BC21" s="176"/>
      <c r="BD21" s="176"/>
      <c r="BE21" s="176"/>
      <c r="BF21" s="52"/>
    </row>
    <row r="22" spans="1:66" ht="75.75" customHeight="1" x14ac:dyDescent="0.25">
      <c r="A22" s="15">
        <f t="shared" si="2"/>
        <v>46026</v>
      </c>
      <c r="B22" s="15">
        <f t="shared" si="1"/>
        <v>46030</v>
      </c>
      <c r="C22" s="26" t="s">
        <v>39</v>
      </c>
      <c r="D22" s="24">
        <f t="shared" si="0"/>
        <v>46026</v>
      </c>
      <c r="E22" s="17"/>
      <c r="F22" s="184" t="s">
        <v>131</v>
      </c>
      <c r="G22" s="184"/>
      <c r="H22" s="184"/>
      <c r="I22" s="184"/>
      <c r="J22" s="184"/>
      <c r="K22" s="184"/>
      <c r="L22" s="184"/>
      <c r="M22" s="184"/>
      <c r="N22" s="17" t="s">
        <v>162</v>
      </c>
      <c r="O22" s="19">
        <f t="shared" si="3"/>
        <v>46027</v>
      </c>
      <c r="Q22" s="184" t="s">
        <v>131</v>
      </c>
      <c r="R22" s="184"/>
      <c r="S22" s="184"/>
      <c r="T22" s="184"/>
      <c r="U22" s="184"/>
      <c r="V22" s="17" t="s">
        <v>162</v>
      </c>
      <c r="W22" s="172" t="s">
        <v>210</v>
      </c>
      <c r="X22" s="172"/>
      <c r="Y22" s="172"/>
      <c r="Z22" s="19">
        <f t="shared" si="4"/>
        <v>46028</v>
      </c>
      <c r="AA22" s="84"/>
      <c r="AB22" s="172" t="s">
        <v>210</v>
      </c>
      <c r="AC22" s="172"/>
      <c r="AD22" s="172"/>
      <c r="AE22" s="84"/>
      <c r="AF22" s="84"/>
      <c r="AG22" s="172" t="s">
        <v>210</v>
      </c>
      <c r="AH22" s="172"/>
      <c r="AI22" s="172"/>
      <c r="AJ22" s="84"/>
      <c r="AK22" s="19">
        <f t="shared" si="5"/>
        <v>46029</v>
      </c>
      <c r="AL22" s="84"/>
      <c r="AM22" s="158" t="s">
        <v>203</v>
      </c>
      <c r="AN22" s="158"/>
      <c r="AO22" s="158"/>
      <c r="AP22" s="26"/>
      <c r="AQ22" s="26"/>
      <c r="AR22" s="158" t="s">
        <v>204</v>
      </c>
      <c r="AS22" s="158"/>
      <c r="AT22" s="84"/>
      <c r="AU22" s="84"/>
      <c r="AV22" s="19">
        <f t="shared" si="6"/>
        <v>46030</v>
      </c>
      <c r="AW22" s="191" t="s">
        <v>138</v>
      </c>
      <c r="AX22" s="191"/>
      <c r="AY22" s="191"/>
      <c r="AZ22" s="191"/>
      <c r="BA22" s="191"/>
      <c r="BB22" s="191"/>
      <c r="BC22" s="191"/>
      <c r="BD22" s="191"/>
      <c r="BE22" s="191"/>
      <c r="BF22" s="123" t="s">
        <v>39</v>
      </c>
      <c r="BJ22" s="184" t="s">
        <v>178</v>
      </c>
      <c r="BK22" s="184"/>
      <c r="BL22" s="184"/>
      <c r="BM22" s="212"/>
    </row>
    <row r="23" spans="1:66" ht="107.25" customHeight="1" x14ac:dyDescent="0.25">
      <c r="A23" s="15">
        <f t="shared" si="2"/>
        <v>46033</v>
      </c>
      <c r="B23" s="15">
        <f t="shared" si="1"/>
        <v>46037</v>
      </c>
      <c r="C23" s="28"/>
      <c r="D23" s="24">
        <f t="shared" si="0"/>
        <v>46033</v>
      </c>
      <c r="E23" s="17"/>
      <c r="F23" s="191" t="s">
        <v>138</v>
      </c>
      <c r="G23" s="191"/>
      <c r="H23" s="191"/>
      <c r="I23" s="191"/>
      <c r="J23" s="191"/>
      <c r="K23" s="191"/>
      <c r="L23" s="191"/>
      <c r="M23" s="191"/>
      <c r="N23" s="191"/>
      <c r="O23" s="19">
        <f t="shared" si="3"/>
        <v>46034</v>
      </c>
      <c r="P23" s="17"/>
      <c r="Q23" s="191" t="s">
        <v>138</v>
      </c>
      <c r="R23" s="191"/>
      <c r="S23" s="191"/>
      <c r="T23" s="191"/>
      <c r="U23" s="191"/>
      <c r="V23" s="191"/>
      <c r="W23" s="191"/>
      <c r="X23" s="191"/>
      <c r="Y23" s="191"/>
      <c r="Z23" s="19">
        <f t="shared" si="4"/>
        <v>46035</v>
      </c>
      <c r="AA23" s="85" t="s">
        <v>162</v>
      </c>
      <c r="AB23" s="169" t="s">
        <v>107</v>
      </c>
      <c r="AC23" s="190"/>
      <c r="AD23" s="190"/>
      <c r="AE23" s="53"/>
      <c r="AF23" s="53"/>
      <c r="AG23" s="169" t="s">
        <v>108</v>
      </c>
      <c r="AH23" s="190"/>
      <c r="AI23" s="190"/>
      <c r="AJ23" s="85" t="s">
        <v>162</v>
      </c>
      <c r="AK23" s="19">
        <f t="shared" si="5"/>
        <v>46036</v>
      </c>
      <c r="AL23" s="85" t="s">
        <v>26</v>
      </c>
      <c r="AM23" s="207" t="s">
        <v>173</v>
      </c>
      <c r="AN23" s="207"/>
      <c r="AO23" s="207"/>
      <c r="AP23" s="207"/>
      <c r="AQ23" s="85"/>
      <c r="AR23" s="169" t="s">
        <v>197</v>
      </c>
      <c r="AS23" s="169"/>
      <c r="AT23" s="85" t="s">
        <v>26</v>
      </c>
      <c r="AU23" s="85"/>
      <c r="AV23" s="19">
        <f t="shared" si="6"/>
        <v>46037</v>
      </c>
      <c r="AW23" s="191" t="s">
        <v>138</v>
      </c>
      <c r="AX23" s="191"/>
      <c r="AY23" s="191"/>
      <c r="AZ23" s="191"/>
      <c r="BA23" s="191"/>
      <c r="BB23" s="191"/>
      <c r="BC23" s="191"/>
      <c r="BD23" s="191"/>
      <c r="BE23" s="191"/>
      <c r="BF23" s="52"/>
      <c r="BH23" s="106" t="s">
        <v>134</v>
      </c>
      <c r="BJ23" s="184" t="s">
        <v>91</v>
      </c>
      <c r="BK23" s="184"/>
      <c r="BL23" s="184"/>
      <c r="BM23" s="212"/>
    </row>
    <row r="24" spans="1:66" ht="101.25" customHeight="1" x14ac:dyDescent="0.25">
      <c r="A24" s="15">
        <f t="shared" si="2"/>
        <v>46040</v>
      </c>
      <c r="B24" s="15">
        <f t="shared" si="1"/>
        <v>46044</v>
      </c>
      <c r="D24" s="24">
        <f t="shared" si="0"/>
        <v>46040</v>
      </c>
      <c r="E24" s="17"/>
      <c r="F24" s="191" t="s">
        <v>138</v>
      </c>
      <c r="G24" s="191"/>
      <c r="H24" s="191"/>
      <c r="I24" s="191"/>
      <c r="J24" s="191"/>
      <c r="K24" s="191"/>
      <c r="L24" s="191"/>
      <c r="M24" s="191"/>
      <c r="N24" s="191"/>
      <c r="O24" s="19">
        <f t="shared" si="3"/>
        <v>46041</v>
      </c>
      <c r="P24" s="17"/>
      <c r="Q24" s="191" t="s">
        <v>138</v>
      </c>
      <c r="R24" s="191"/>
      <c r="S24" s="191"/>
      <c r="T24" s="191"/>
      <c r="U24" s="191"/>
      <c r="V24" s="191"/>
      <c r="W24" s="191"/>
      <c r="X24" s="191"/>
      <c r="Y24" s="191"/>
      <c r="Z24" s="19">
        <f t="shared" si="4"/>
        <v>46042</v>
      </c>
      <c r="AA24" s="85"/>
      <c r="AB24" s="85"/>
      <c r="AC24" s="85"/>
      <c r="AD24" s="85"/>
      <c r="AE24" s="85"/>
      <c r="AF24" s="196" t="s">
        <v>158</v>
      </c>
      <c r="AG24" s="196"/>
      <c r="AH24" s="196"/>
      <c r="AI24" s="196"/>
      <c r="AJ24" s="196"/>
      <c r="AK24" s="19">
        <f t="shared" si="5"/>
        <v>46043</v>
      </c>
      <c r="AL24" s="86"/>
      <c r="AM24" s="197" t="s">
        <v>171</v>
      </c>
      <c r="AN24" s="197"/>
      <c r="AO24" s="197"/>
      <c r="AP24" s="197"/>
      <c r="AQ24" s="197"/>
      <c r="AR24" s="101" t="s">
        <v>183</v>
      </c>
      <c r="AS24" s="197" t="s">
        <v>170</v>
      </c>
      <c r="AT24" s="197"/>
      <c r="AU24" s="197"/>
      <c r="AV24" s="19">
        <f t="shared" si="6"/>
        <v>46044</v>
      </c>
      <c r="AW24" s="191" t="s">
        <v>138</v>
      </c>
      <c r="AX24" s="191"/>
      <c r="AY24" s="191"/>
      <c r="AZ24" s="191"/>
      <c r="BA24" s="191"/>
      <c r="BB24" s="191"/>
      <c r="BC24" s="191"/>
      <c r="BD24" s="191"/>
      <c r="BE24" s="191"/>
      <c r="BF24" s="52"/>
      <c r="BH24" t="s">
        <v>135</v>
      </c>
    </row>
    <row r="25" spans="1:66" ht="106.5" customHeight="1" thickBot="1" x14ac:dyDescent="0.3">
      <c r="A25" s="15">
        <f t="shared" si="2"/>
        <v>46047</v>
      </c>
      <c r="B25" s="15">
        <f t="shared" si="1"/>
        <v>46051</v>
      </c>
      <c r="D25" s="24">
        <f t="shared" si="0"/>
        <v>46047</v>
      </c>
      <c r="E25" s="192" t="s">
        <v>138</v>
      </c>
      <c r="F25" s="192"/>
      <c r="G25" s="192"/>
      <c r="H25" s="192"/>
      <c r="I25" s="192"/>
      <c r="J25" s="192"/>
      <c r="K25" s="192"/>
      <c r="L25" s="192"/>
      <c r="M25" s="192"/>
      <c r="N25" s="192"/>
      <c r="O25" s="19">
        <f t="shared" si="3"/>
        <v>46048</v>
      </c>
      <c r="P25" s="192" t="s">
        <v>138</v>
      </c>
      <c r="Q25" s="192"/>
      <c r="R25" s="192"/>
      <c r="S25" s="192"/>
      <c r="T25" s="192"/>
      <c r="U25" s="192"/>
      <c r="V25" s="192"/>
      <c r="W25" s="192"/>
      <c r="X25" s="192"/>
      <c r="Y25" s="192"/>
      <c r="Z25" s="19">
        <f t="shared" si="4"/>
        <v>46049</v>
      </c>
      <c r="AA25" s="213" t="s">
        <v>172</v>
      </c>
      <c r="AB25" s="213"/>
      <c r="AC25" s="213"/>
      <c r="AD25" s="213"/>
      <c r="AE25" s="213"/>
      <c r="AF25" s="213" t="s">
        <v>127</v>
      </c>
      <c r="AG25" s="213"/>
      <c r="AH25" s="213"/>
      <c r="AI25" s="213"/>
      <c r="AJ25" s="213"/>
      <c r="AK25" s="19">
        <f>AK24+7</f>
        <v>46050</v>
      </c>
      <c r="AL25" s="195" t="s">
        <v>139</v>
      </c>
      <c r="AM25" s="195"/>
      <c r="AN25" s="195"/>
      <c r="AO25" s="195" t="s">
        <v>14</v>
      </c>
      <c r="AP25" s="195"/>
      <c r="AQ25" s="195" t="s">
        <v>118</v>
      </c>
      <c r="AR25" s="195"/>
      <c r="AS25" s="195"/>
      <c r="AT25" s="195"/>
      <c r="AU25" s="195"/>
      <c r="AV25" s="19">
        <f t="shared" si="6"/>
        <v>46051</v>
      </c>
      <c r="AW25" s="121"/>
      <c r="AX25" s="197" t="s">
        <v>88</v>
      </c>
      <c r="AY25" s="197"/>
      <c r="AZ25" s="197"/>
      <c r="BA25" s="197"/>
      <c r="BB25" s="121"/>
      <c r="BC25" s="121"/>
      <c r="BD25" s="121"/>
      <c r="BE25" s="121"/>
      <c r="BF25" s="52"/>
      <c r="BH25" s="61" t="s">
        <v>136</v>
      </c>
    </row>
    <row r="26" spans="1:66" ht="78.75" customHeight="1" x14ac:dyDescent="0.25">
      <c r="A26" s="15">
        <f t="shared" si="2"/>
        <v>46054</v>
      </c>
      <c r="B26" s="15">
        <f t="shared" si="1"/>
        <v>46058</v>
      </c>
      <c r="C26" s="23"/>
      <c r="D26" s="24">
        <f>A26</f>
        <v>46054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9">
        <f t="shared" si="3"/>
        <v>46055</v>
      </c>
      <c r="Z26" s="19">
        <f t="shared" si="4"/>
        <v>46056</v>
      </c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19">
        <f t="shared" si="5"/>
        <v>46057</v>
      </c>
      <c r="AL26" s="205"/>
      <c r="AM26" s="205"/>
      <c r="AN26" s="205"/>
      <c r="AO26" s="205"/>
      <c r="AP26" s="205"/>
      <c r="AQ26" s="205"/>
      <c r="AR26" s="205"/>
      <c r="AS26" s="205"/>
      <c r="AT26" s="205"/>
      <c r="AU26" s="205"/>
      <c r="AV26" s="19">
        <f t="shared" si="6"/>
        <v>46058</v>
      </c>
      <c r="AW26" s="191"/>
      <c r="AX26" s="191"/>
      <c r="AY26" s="191"/>
      <c r="AZ26" s="191"/>
      <c r="BA26" s="191"/>
      <c r="BB26" s="191"/>
      <c r="BC26" s="191"/>
      <c r="BD26" s="191"/>
      <c r="BE26" s="191"/>
      <c r="BF26" s="124"/>
    </row>
    <row r="27" spans="1:66" ht="106.9" customHeight="1" thickBot="1" x14ac:dyDescent="0.3">
      <c r="A27" s="15">
        <f>B26+3</f>
        <v>46061</v>
      </c>
      <c r="B27" s="15">
        <f t="shared" si="1"/>
        <v>46065</v>
      </c>
      <c r="C27" s="26" t="s">
        <v>39</v>
      </c>
      <c r="D27" s="30">
        <f t="shared" si="0"/>
        <v>46061</v>
      </c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56">
        <f>O26+7</f>
        <v>46062</v>
      </c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56">
        <f>Z26+7</f>
        <v>46063</v>
      </c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56">
        <f>AK26+7</f>
        <v>46064</v>
      </c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56">
        <f>AV26+7</f>
        <v>46065</v>
      </c>
      <c r="AW27" s="200"/>
      <c r="AX27" s="200"/>
      <c r="AY27" s="200"/>
      <c r="AZ27" s="200"/>
      <c r="BA27" s="200"/>
      <c r="BB27" s="200"/>
      <c r="BC27" s="200"/>
      <c r="BD27" s="200"/>
      <c r="BE27" s="122"/>
      <c r="BF27" s="125"/>
    </row>
    <row r="28" spans="1:66" x14ac:dyDescent="0.25">
      <c r="A28" s="33"/>
      <c r="B28" s="33"/>
      <c r="C28" s="99"/>
      <c r="D28" s="34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34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34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34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34"/>
      <c r="AW28" s="99"/>
      <c r="BF28" s="23"/>
    </row>
    <row r="29" spans="1:66" x14ac:dyDescent="0.25">
      <c r="A29" s="99"/>
      <c r="B29" s="99"/>
      <c r="C29" s="99"/>
      <c r="D29" s="4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201" t="s">
        <v>87</v>
      </c>
      <c r="AG29" s="201"/>
      <c r="AH29" s="201"/>
      <c r="AI29" s="201"/>
      <c r="AJ29" s="201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</row>
    <row r="30" spans="1:66" x14ac:dyDescent="0.25">
      <c r="AL30" s="35"/>
      <c r="AM30" s="35"/>
      <c r="AN30" s="35"/>
      <c r="AO30" s="36" t="s">
        <v>12</v>
      </c>
    </row>
    <row r="31" spans="1:66" x14ac:dyDescent="0.25">
      <c r="U31" s="37"/>
      <c r="V31" s="37"/>
      <c r="W31" s="38"/>
      <c r="X31" s="39" t="s">
        <v>12</v>
      </c>
      <c r="Y31" s="17"/>
      <c r="AL31" s="40"/>
      <c r="AM31" s="40"/>
      <c r="AN31" s="40"/>
      <c r="AO31" s="41" t="s">
        <v>6</v>
      </c>
      <c r="BE31" s="17"/>
      <c r="BF31" s="17"/>
      <c r="BG31" s="17"/>
      <c r="BH31" s="17"/>
      <c r="BI31" s="17"/>
    </row>
    <row r="32" spans="1:66" ht="16.5" thickBot="1" x14ac:dyDescent="0.3">
      <c r="M32" s="42"/>
      <c r="N32" s="29"/>
      <c r="O32" s="106" t="s">
        <v>10</v>
      </c>
      <c r="Q32" s="106" t="s">
        <v>42</v>
      </c>
      <c r="U32" s="40"/>
      <c r="V32" s="40"/>
      <c r="W32" s="43"/>
      <c r="X32" s="39" t="s">
        <v>6</v>
      </c>
      <c r="Y32" s="17"/>
      <c r="AA32" s="202" t="s">
        <v>56</v>
      </c>
      <c r="AB32" s="202"/>
      <c r="AC32" s="202"/>
      <c r="AD32" s="202" t="s">
        <v>14</v>
      </c>
      <c r="AE32" s="202"/>
      <c r="AF32" s="202" t="s">
        <v>102</v>
      </c>
      <c r="AG32" s="202"/>
      <c r="AH32" s="202"/>
      <c r="AI32" s="202"/>
      <c r="AJ32" s="202"/>
      <c r="AL32" s="44"/>
      <c r="AM32" s="44"/>
      <c r="AN32" s="44"/>
      <c r="AO32" s="41" t="s">
        <v>7</v>
      </c>
    </row>
    <row r="33" spans="4:50" x14ac:dyDescent="0.25">
      <c r="M33" s="45"/>
      <c r="N33" s="45"/>
      <c r="O33" s="106" t="s">
        <v>15</v>
      </c>
      <c r="U33" s="44"/>
      <c r="V33" s="44"/>
      <c r="W33" s="44"/>
      <c r="X33" s="39" t="s">
        <v>7</v>
      </c>
      <c r="Y33" s="17"/>
      <c r="AL33" s="46"/>
      <c r="AM33" s="46"/>
      <c r="AN33" s="46"/>
      <c r="AO33" s="41" t="s">
        <v>8</v>
      </c>
    </row>
    <row r="34" spans="4:50" x14ac:dyDescent="0.25">
      <c r="U34" s="46"/>
      <c r="V34" s="46"/>
      <c r="W34" s="47"/>
      <c r="X34" s="39" t="s">
        <v>8</v>
      </c>
      <c r="Y34" s="17"/>
      <c r="AL34" s="119"/>
      <c r="AM34" s="119"/>
      <c r="AN34" s="119"/>
      <c r="AQ34" s="99"/>
      <c r="AR34" s="99"/>
      <c r="AS34" s="99"/>
      <c r="AT34" s="99"/>
      <c r="AU34" s="99"/>
      <c r="AV34" s="99"/>
      <c r="AW34" s="99"/>
      <c r="AX34" s="99"/>
    </row>
    <row r="35" spans="4:50" x14ac:dyDescent="0.25">
      <c r="D35" s="106"/>
      <c r="U35" s="119"/>
      <c r="V35" s="119"/>
      <c r="W35" s="120"/>
      <c r="X35" s="83"/>
      <c r="Y35" s="17"/>
      <c r="AF35" s="23"/>
      <c r="AG35" s="23"/>
      <c r="AH35" s="23"/>
      <c r="AL35" s="119"/>
      <c r="AM35" s="23"/>
      <c r="AN35" s="23"/>
      <c r="AO35" s="23"/>
      <c r="AQ35" s="99"/>
      <c r="AR35" s="99"/>
      <c r="AS35" s="99"/>
      <c r="AT35" s="203"/>
      <c r="AU35" s="203"/>
      <c r="AV35" s="203"/>
      <c r="AW35" s="99"/>
      <c r="AX35" s="99"/>
    </row>
    <row r="36" spans="4:50" x14ac:dyDescent="0.25">
      <c r="D36" s="106"/>
      <c r="U36" s="23"/>
      <c r="V36" s="23"/>
      <c r="W36" s="23"/>
      <c r="X36" s="23"/>
    </row>
    <row r="37" spans="4:50" ht="89.45" customHeight="1" thickBot="1" x14ac:dyDescent="0.3">
      <c r="D37" s="106"/>
      <c r="U37" s="23"/>
      <c r="V37" s="23"/>
      <c r="W37" s="23"/>
      <c r="X37" s="23"/>
      <c r="AA37" s="198" t="s">
        <v>78</v>
      </c>
      <c r="AB37" s="198"/>
      <c r="AC37" s="198"/>
      <c r="AD37" s="198"/>
      <c r="AE37" s="198"/>
      <c r="AF37" s="198"/>
      <c r="AG37" s="198"/>
      <c r="AH37" s="198"/>
      <c r="AI37" s="198"/>
      <c r="AJ37" s="198"/>
      <c r="AL37" s="199" t="s">
        <v>57</v>
      </c>
      <c r="AM37" s="199"/>
      <c r="AN37" s="199"/>
      <c r="AO37" s="199"/>
      <c r="AP37" s="199"/>
      <c r="AR37" s="199" t="s">
        <v>103</v>
      </c>
      <c r="AS37" s="199"/>
      <c r="AT37" s="199"/>
      <c r="AU37" s="199"/>
      <c r="AV37" s="199"/>
      <c r="AW37" s="99"/>
      <c r="AX37" s="99"/>
    </row>
    <row r="38" spans="4:50" ht="14.45" customHeight="1" x14ac:dyDescent="0.25">
      <c r="D38" s="106"/>
      <c r="AU38" s="99"/>
      <c r="AV38" s="99"/>
      <c r="AW38" s="99"/>
      <c r="AX38" s="99"/>
    </row>
    <row r="39" spans="4:50" ht="76.150000000000006" customHeight="1" x14ac:dyDescent="0.25">
      <c r="D39" s="106"/>
      <c r="AV39" s="99"/>
      <c r="AW39" s="99"/>
      <c r="AX39" s="99"/>
    </row>
    <row r="40" spans="4:50" ht="14.45" customHeight="1" x14ac:dyDescent="0.25">
      <c r="D40" s="106"/>
      <c r="AC40" s="106" t="s">
        <v>42</v>
      </c>
      <c r="AX40" s="99"/>
    </row>
    <row r="41" spans="4:50" x14ac:dyDescent="0.25">
      <c r="D41" s="106"/>
      <c r="AQ41" s="99"/>
      <c r="AV41" s="99"/>
      <c r="AW41" s="99"/>
      <c r="AX41" s="99"/>
    </row>
    <row r="42" spans="4:50" x14ac:dyDescent="0.25">
      <c r="D42" s="106"/>
      <c r="AQ42" s="99"/>
    </row>
    <row r="43" spans="4:50" x14ac:dyDescent="0.25">
      <c r="D43" s="106"/>
      <c r="AQ43" s="99"/>
      <c r="AR43" s="99"/>
      <c r="AS43" s="99"/>
      <c r="AX43" s="99"/>
    </row>
    <row r="44" spans="4:50" x14ac:dyDescent="0.25">
      <c r="AX44" s="99"/>
    </row>
    <row r="45" spans="4:50" x14ac:dyDescent="0.25">
      <c r="AX45" s="99"/>
    </row>
    <row r="46" spans="4:50" x14ac:dyDescent="0.25">
      <c r="T46" s="51"/>
    </row>
    <row r="48" spans="4:50" x14ac:dyDescent="0.25">
      <c r="AP48" s="50"/>
      <c r="AQ48" s="50"/>
      <c r="AR48" s="50"/>
      <c r="AS48" s="50"/>
    </row>
  </sheetData>
  <mergeCells count="230">
    <mergeCell ref="AA37:AJ37"/>
    <mergeCell ref="AL37:AP37"/>
    <mergeCell ref="AR37:AV37"/>
    <mergeCell ref="AW27:BA27"/>
    <mergeCell ref="BB27:BD27"/>
    <mergeCell ref="AF29:AJ29"/>
    <mergeCell ref="AA32:AE32"/>
    <mergeCell ref="AF32:AJ32"/>
    <mergeCell ref="AT35:AV35"/>
    <mergeCell ref="AA26:AE26"/>
    <mergeCell ref="AF26:AJ26"/>
    <mergeCell ref="AL26:AP26"/>
    <mergeCell ref="AQ26:AU26"/>
    <mergeCell ref="AW26:BE26"/>
    <mergeCell ref="E25:N25"/>
    <mergeCell ref="P25:Y25"/>
    <mergeCell ref="AA25:AE25"/>
    <mergeCell ref="AF25:AJ25"/>
    <mergeCell ref="AL25:AP25"/>
    <mergeCell ref="AQ25:AU25"/>
    <mergeCell ref="AX25:BA25"/>
    <mergeCell ref="AM23:AP23"/>
    <mergeCell ref="AR23:AS23"/>
    <mergeCell ref="AW23:BE23"/>
    <mergeCell ref="F24:N24"/>
    <mergeCell ref="Q24:Y24"/>
    <mergeCell ref="AM24:AQ24"/>
    <mergeCell ref="AS24:AU24"/>
    <mergeCell ref="AW24:BE24"/>
    <mergeCell ref="BJ23:BM23"/>
    <mergeCell ref="AB23:AD23"/>
    <mergeCell ref="AG23:AI23"/>
    <mergeCell ref="AF24:AJ24"/>
    <mergeCell ref="F23:N23"/>
    <mergeCell ref="Q23:Y23"/>
    <mergeCell ref="AL21:AP21"/>
    <mergeCell ref="AQ21:AU21"/>
    <mergeCell ref="AW21:BE21"/>
    <mergeCell ref="Q22:U22"/>
    <mergeCell ref="W22:Y22"/>
    <mergeCell ref="BJ22:BM22"/>
    <mergeCell ref="E21:I21"/>
    <mergeCell ref="J21:N21"/>
    <mergeCell ref="P21:T21"/>
    <mergeCell ref="U21:Y21"/>
    <mergeCell ref="AA21:AE21"/>
    <mergeCell ref="AF21:AJ21"/>
    <mergeCell ref="AM22:AO22"/>
    <mergeCell ref="AR22:AS22"/>
    <mergeCell ref="F22:M22"/>
    <mergeCell ref="AW22:BE22"/>
    <mergeCell ref="AB22:AD22"/>
    <mergeCell ref="AG22:AI22"/>
    <mergeCell ref="E20:I20"/>
    <mergeCell ref="J20:N20"/>
    <mergeCell ref="P20:T20"/>
    <mergeCell ref="U20:Y20"/>
    <mergeCell ref="AA20:AE20"/>
    <mergeCell ref="AF20:AJ20"/>
    <mergeCell ref="AL20:AP20"/>
    <mergeCell ref="AQ20:AU20"/>
    <mergeCell ref="AW20:BE20"/>
    <mergeCell ref="BC18:BE18"/>
    <mergeCell ref="BG18:BJ18"/>
    <mergeCell ref="BK18:BN18"/>
    <mergeCell ref="F19:H19"/>
    <mergeCell ref="K19:M19"/>
    <mergeCell ref="P19:S19"/>
    <mergeCell ref="V19:Y19"/>
    <mergeCell ref="AB19:AE19"/>
    <mergeCell ref="AG19:AI19"/>
    <mergeCell ref="AX19:BA19"/>
    <mergeCell ref="F18:H18"/>
    <mergeCell ref="K18:M18"/>
    <mergeCell ref="P18:S18"/>
    <mergeCell ref="V18:Y18"/>
    <mergeCell ref="AB18:AE18"/>
    <mergeCell ref="AG18:AJ18"/>
    <mergeCell ref="AM18:AO18"/>
    <mergeCell ref="AQ18:AT18"/>
    <mergeCell ref="AX18:BA18"/>
    <mergeCell ref="BC16:BE16"/>
    <mergeCell ref="F17:H17"/>
    <mergeCell ref="K17:M17"/>
    <mergeCell ref="Q17:R17"/>
    <mergeCell ref="AB17:AC17"/>
    <mergeCell ref="AE17:AF17"/>
    <mergeCell ref="AX17:BA17"/>
    <mergeCell ref="F16:H16"/>
    <mergeCell ref="BC17:BE17"/>
    <mergeCell ref="K16:M16"/>
    <mergeCell ref="Q16:S16"/>
    <mergeCell ref="V16:X16"/>
    <mergeCell ref="AA16:AD16"/>
    <mergeCell ref="AG16:AI16"/>
    <mergeCell ref="AL16:AO16"/>
    <mergeCell ref="AQ16:AR16"/>
    <mergeCell ref="AS16:AT16"/>
    <mergeCell ref="AX16:BA16"/>
    <mergeCell ref="AX14:BA14"/>
    <mergeCell ref="BC14:BE14"/>
    <mergeCell ref="BH14:BJ14"/>
    <mergeCell ref="E15:H15"/>
    <mergeCell ref="K15:M15"/>
    <mergeCell ref="Q15:R15"/>
    <mergeCell ref="AA15:AC15"/>
    <mergeCell ref="AG15:AH15"/>
    <mergeCell ref="AI15:AJ15"/>
    <mergeCell ref="AM15:AN15"/>
    <mergeCell ref="F14:H14"/>
    <mergeCell ref="K14:M14"/>
    <mergeCell ref="Q14:R14"/>
    <mergeCell ref="AA14:AJ14"/>
    <mergeCell ref="AM14:AN14"/>
    <mergeCell ref="AQ14:AU14"/>
    <mergeCell ref="AP15:AT15"/>
    <mergeCell ref="AX15:BA15"/>
    <mergeCell ref="BC15:BE15"/>
    <mergeCell ref="F13:H13"/>
    <mergeCell ref="K13:N13"/>
    <mergeCell ref="Q13:S13"/>
    <mergeCell ref="AA13:AC13"/>
    <mergeCell ref="AG13:AI13"/>
    <mergeCell ref="AM13:AO13"/>
    <mergeCell ref="AQ13:AS13"/>
    <mergeCell ref="AX13:BA13"/>
    <mergeCell ref="BC13:BE13"/>
    <mergeCell ref="E12:I12"/>
    <mergeCell ref="J12:N12"/>
    <mergeCell ref="P12:T12"/>
    <mergeCell ref="U12:Y12"/>
    <mergeCell ref="AA12:AE12"/>
    <mergeCell ref="AF12:AJ12"/>
    <mergeCell ref="AL12:AP12"/>
    <mergeCell ref="AQ12:AU12"/>
    <mergeCell ref="AW12:BE12"/>
    <mergeCell ref="E11:H11"/>
    <mergeCell ref="K11:N11"/>
    <mergeCell ref="Q11:S11"/>
    <mergeCell ref="V11:W11"/>
    <mergeCell ref="AA11:AD11"/>
    <mergeCell ref="AM11:AO11"/>
    <mergeCell ref="AQ11:AS11"/>
    <mergeCell ref="AX11:BA11"/>
    <mergeCell ref="BC11:BE11"/>
    <mergeCell ref="F10:H10"/>
    <mergeCell ref="K10:M10"/>
    <mergeCell ref="Q10:S10"/>
    <mergeCell ref="V10:X10"/>
    <mergeCell ref="AB10:AD10"/>
    <mergeCell ref="AG10:AI10"/>
    <mergeCell ref="AM10:AO10"/>
    <mergeCell ref="AQ10:AS10"/>
    <mergeCell ref="AW10:BE10"/>
    <mergeCell ref="BH8:BK8"/>
    <mergeCell ref="F9:H9"/>
    <mergeCell ref="K9:M9"/>
    <mergeCell ref="Q9:S9"/>
    <mergeCell ref="V9:X9"/>
    <mergeCell ref="AG9:AI9"/>
    <mergeCell ref="AL9:AO9"/>
    <mergeCell ref="AR9:AT9"/>
    <mergeCell ref="AX9:BA9"/>
    <mergeCell ref="BC9:BE9"/>
    <mergeCell ref="F8:H8"/>
    <mergeCell ref="K8:M8"/>
    <mergeCell ref="Q8:S8"/>
    <mergeCell ref="V8:X8"/>
    <mergeCell ref="AC8:AE8"/>
    <mergeCell ref="AG8:AI8"/>
    <mergeCell ref="AM8:AO8"/>
    <mergeCell ref="AQ8:AT8"/>
    <mergeCell ref="AX8:BA8"/>
    <mergeCell ref="F7:H7"/>
    <mergeCell ref="K7:M7"/>
    <mergeCell ref="Q7:S7"/>
    <mergeCell ref="V7:X7"/>
    <mergeCell ref="AB7:AD7"/>
    <mergeCell ref="F6:H6"/>
    <mergeCell ref="K6:M6"/>
    <mergeCell ref="Q6:S6"/>
    <mergeCell ref="V6:X6"/>
    <mergeCell ref="AA6:AD6"/>
    <mergeCell ref="BH5:BJ5"/>
    <mergeCell ref="BL5:BN5"/>
    <mergeCell ref="AR4:AT4"/>
    <mergeCell ref="AX4:AZ4"/>
    <mergeCell ref="BH4:BK4"/>
    <mergeCell ref="AM6:AO6"/>
    <mergeCell ref="AQ6:AS6"/>
    <mergeCell ref="AX6:AZ6"/>
    <mergeCell ref="BB6:BC6"/>
    <mergeCell ref="BH6:BJ6"/>
    <mergeCell ref="E5:H5"/>
    <mergeCell ref="J5:N5"/>
    <mergeCell ref="P5:S5"/>
    <mergeCell ref="V5:X5"/>
    <mergeCell ref="AB5:AD5"/>
    <mergeCell ref="AG5:AJ5"/>
    <mergeCell ref="AM5:AO5"/>
    <mergeCell ref="D1:M1"/>
    <mergeCell ref="O1:X1"/>
    <mergeCell ref="Z1:AI1"/>
    <mergeCell ref="AK1:AT1"/>
    <mergeCell ref="AQ5:AR5"/>
    <mergeCell ref="AS5:AU5"/>
    <mergeCell ref="AV1:BE1"/>
    <mergeCell ref="Q4:R4"/>
    <mergeCell ref="V4:X4"/>
    <mergeCell ref="AC4:AD4"/>
    <mergeCell ref="AG4:AI4"/>
    <mergeCell ref="AM4:AO4"/>
    <mergeCell ref="AM19:AO19"/>
    <mergeCell ref="AR19:AT19"/>
    <mergeCell ref="AM17:AO17"/>
    <mergeCell ref="AR17:AS17"/>
    <mergeCell ref="AB9:AD9"/>
    <mergeCell ref="AG11:AI11"/>
    <mergeCell ref="V13:X13"/>
    <mergeCell ref="V14:X14"/>
    <mergeCell ref="V15:X15"/>
    <mergeCell ref="V17:X17"/>
    <mergeCell ref="AW5:AX5"/>
    <mergeCell ref="AY5:AZ5"/>
    <mergeCell ref="AG6:AJ6"/>
    <mergeCell ref="AF7:AH7"/>
    <mergeCell ref="AM7:AO7"/>
    <mergeCell ref="AQ7:AS7"/>
    <mergeCell ref="AX7:AZ7"/>
    <mergeCell ref="BC8:BE8"/>
  </mergeCells>
  <hyperlinks>
    <hyperlink ref="BH25" r:id="rId1" display="https://sites.google.com/view/fm4b-lab/contact-us" xr:uid="{E25D4E53-673F-4E69-8108-509CB42B25E5}"/>
  </hyperlinks>
  <pageMargins left="0.25" right="0.25" top="0.75" bottom="0.75" header="0.3" footer="0.3"/>
  <pageSetup paperSize="8" scale="59" fitToWidth="0" orientation="portrait" r:id="rId2"/>
  <rowBreaks count="1" manualBreakCount="1">
    <brk id="16" min="3" max="55" man="1"/>
  </rowBreaks>
  <colBreaks count="2" manualBreakCount="2">
    <brk id="25" max="35" man="1"/>
    <brk id="47" max="35" man="1"/>
  </colBreaks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E862-A1E1-4B73-A496-BEA9068A3CD5}">
  <sheetPr>
    <pageSetUpPr fitToPage="1"/>
  </sheetPr>
  <dimension ref="A1:BN48"/>
  <sheetViews>
    <sheetView topLeftCell="U1" zoomScale="55" zoomScaleNormal="55" workbookViewId="0">
      <pane ySplit="2" topLeftCell="A14" activePane="bottomLeft" state="frozen"/>
      <selection pane="bottomLeft" activeCell="BJ22" sqref="BJ22"/>
    </sheetView>
  </sheetViews>
  <sheetFormatPr baseColWidth="10" defaultColWidth="11.5703125" defaultRowHeight="15" x14ac:dyDescent="0.25"/>
  <cols>
    <col min="1" max="1" width="8.85546875" style="6" customWidth="1"/>
    <col min="2" max="3" width="9" style="6" customWidth="1"/>
    <col min="4" max="4" width="11.7109375" style="5" customWidth="1"/>
    <col min="5" max="5" width="5.85546875" style="6" bestFit="1" customWidth="1"/>
    <col min="6" max="8" width="10.5703125" style="6" customWidth="1"/>
    <col min="9" max="10" width="8" style="6" bestFit="1" customWidth="1"/>
    <col min="11" max="14" width="10.5703125" style="6" customWidth="1"/>
    <col min="15" max="15" width="11" style="6" customWidth="1"/>
    <col min="16" max="16" width="5.85546875" style="6" bestFit="1" customWidth="1"/>
    <col min="17" max="19" width="10.5703125" style="6" customWidth="1"/>
    <col min="20" max="21" width="8" style="6" bestFit="1" customWidth="1"/>
    <col min="22" max="25" width="10.5703125" style="6" customWidth="1"/>
    <col min="26" max="26" width="11.7109375" style="6" customWidth="1"/>
    <col min="27" max="27" width="5.85546875" style="6" bestFit="1" customWidth="1"/>
    <col min="28" max="28" width="10.5703125" style="6" customWidth="1"/>
    <col min="29" max="29" width="11.140625" style="6" customWidth="1"/>
    <col min="30" max="30" width="10.5703125" style="6" customWidth="1"/>
    <col min="31" max="32" width="8" style="6" bestFit="1" customWidth="1"/>
    <col min="33" max="36" width="10.5703125" style="6" customWidth="1"/>
    <col min="37" max="37" width="12" style="6" customWidth="1"/>
    <col min="38" max="38" width="8.42578125" style="6" bestFit="1" customWidth="1"/>
    <col min="39" max="41" width="10.5703125" style="6" customWidth="1"/>
    <col min="42" max="42" width="10.28515625" style="6" bestFit="1" customWidth="1"/>
    <col min="43" max="47" width="10.5703125" style="6" customWidth="1"/>
    <col min="48" max="48" width="11.42578125" style="6" customWidth="1"/>
    <col min="49" max="49" width="5.85546875" style="6" bestFit="1" customWidth="1"/>
    <col min="50" max="52" width="10.5703125" style="6" customWidth="1"/>
    <col min="53" max="53" width="9" style="6" customWidth="1"/>
    <col min="54" max="54" width="8" style="6" customWidth="1"/>
    <col min="55" max="56" width="10.5703125" style="6" customWidth="1"/>
    <col min="57" max="57" width="14.28515625" style="6" customWidth="1"/>
    <col min="58" max="58" width="11.5703125" style="6" customWidth="1"/>
    <col min="59" max="16384" width="11.5703125" style="6"/>
  </cols>
  <sheetData>
    <row r="1" spans="1:66" ht="15.75" thickBot="1" x14ac:dyDescent="0.3">
      <c r="D1" s="153" t="s">
        <v>0</v>
      </c>
      <c r="E1" s="153"/>
      <c r="F1" s="153"/>
      <c r="G1" s="153"/>
      <c r="H1" s="153"/>
      <c r="I1" s="153"/>
      <c r="J1" s="153"/>
      <c r="K1" s="153"/>
      <c r="L1" s="153"/>
      <c r="M1" s="153"/>
      <c r="N1" s="62"/>
      <c r="O1" s="154" t="s">
        <v>1</v>
      </c>
      <c r="P1" s="154"/>
      <c r="Q1" s="154"/>
      <c r="R1" s="154"/>
      <c r="S1" s="154"/>
      <c r="T1" s="154"/>
      <c r="U1" s="154"/>
      <c r="V1" s="154"/>
      <c r="W1" s="154"/>
      <c r="X1" s="154"/>
      <c r="Y1" s="63"/>
      <c r="Z1" s="155" t="s">
        <v>2</v>
      </c>
      <c r="AA1" s="155"/>
      <c r="AB1" s="155"/>
      <c r="AC1" s="155"/>
      <c r="AD1" s="155"/>
      <c r="AE1" s="155"/>
      <c r="AF1" s="155"/>
      <c r="AG1" s="155"/>
      <c r="AH1" s="155"/>
      <c r="AI1" s="155"/>
      <c r="AJ1" s="64"/>
      <c r="AK1" s="156" t="s">
        <v>3</v>
      </c>
      <c r="AL1" s="156"/>
      <c r="AM1" s="156"/>
      <c r="AN1" s="156"/>
      <c r="AO1" s="156"/>
      <c r="AP1" s="156"/>
      <c r="AQ1" s="156"/>
      <c r="AR1" s="156"/>
      <c r="AS1" s="156"/>
      <c r="AT1" s="156"/>
      <c r="AU1" s="65"/>
      <c r="AV1" s="157" t="s">
        <v>4</v>
      </c>
      <c r="AW1" s="157"/>
      <c r="AX1" s="157"/>
      <c r="AY1" s="157"/>
      <c r="AZ1" s="157"/>
      <c r="BA1" s="157"/>
      <c r="BB1" s="157"/>
      <c r="BC1" s="157"/>
      <c r="BD1" s="157"/>
      <c r="BE1" s="157"/>
    </row>
    <row r="2" spans="1:66" ht="48.75" thickBot="1" x14ac:dyDescent="0.3">
      <c r="C2" s="7" t="s">
        <v>45</v>
      </c>
      <c r="D2" s="1" t="s">
        <v>5</v>
      </c>
      <c r="E2" s="8" t="s">
        <v>16</v>
      </c>
      <c r="F2" s="9" t="s">
        <v>17</v>
      </c>
      <c r="G2" s="9" t="s">
        <v>18</v>
      </c>
      <c r="H2" s="9" t="s">
        <v>19</v>
      </c>
      <c r="I2" s="9" t="s">
        <v>24</v>
      </c>
      <c r="J2" s="9" t="s">
        <v>20</v>
      </c>
      <c r="K2" s="9" t="s">
        <v>21</v>
      </c>
      <c r="L2" s="10" t="s">
        <v>22</v>
      </c>
      <c r="M2" s="11" t="s">
        <v>23</v>
      </c>
      <c r="N2" s="12" t="s">
        <v>25</v>
      </c>
      <c r="O2" s="2" t="s">
        <v>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24</v>
      </c>
      <c r="U2" s="9" t="s">
        <v>20</v>
      </c>
      <c r="V2" s="9" t="s">
        <v>21</v>
      </c>
      <c r="W2" s="10" t="s">
        <v>22</v>
      </c>
      <c r="X2" s="11" t="s">
        <v>23</v>
      </c>
      <c r="Y2" s="12" t="s">
        <v>25</v>
      </c>
      <c r="Z2" s="3" t="s">
        <v>5</v>
      </c>
      <c r="AA2" s="9" t="s">
        <v>16</v>
      </c>
      <c r="AB2" s="9" t="s">
        <v>17</v>
      </c>
      <c r="AC2" s="9" t="s">
        <v>18</v>
      </c>
      <c r="AD2" s="9" t="s">
        <v>19</v>
      </c>
      <c r="AE2" s="9" t="s">
        <v>24</v>
      </c>
      <c r="AF2" s="9" t="s">
        <v>20</v>
      </c>
      <c r="AG2" s="9" t="s">
        <v>21</v>
      </c>
      <c r="AH2" s="10" t="s">
        <v>22</v>
      </c>
      <c r="AI2" s="11" t="s">
        <v>23</v>
      </c>
      <c r="AJ2" s="12" t="s">
        <v>25</v>
      </c>
      <c r="AK2" s="3" t="s">
        <v>5</v>
      </c>
      <c r="AL2" s="9" t="s">
        <v>16</v>
      </c>
      <c r="AM2" s="9" t="s">
        <v>17</v>
      </c>
      <c r="AN2" s="9" t="s">
        <v>18</v>
      </c>
      <c r="AO2" s="9" t="s">
        <v>19</v>
      </c>
      <c r="AP2" s="9" t="s">
        <v>24</v>
      </c>
      <c r="AQ2" s="9" t="s">
        <v>20</v>
      </c>
      <c r="AR2" s="9" t="s">
        <v>21</v>
      </c>
      <c r="AS2" s="10" t="s">
        <v>22</v>
      </c>
      <c r="AT2" s="11" t="s">
        <v>23</v>
      </c>
      <c r="AU2" s="12" t="s">
        <v>25</v>
      </c>
      <c r="AV2" s="3" t="s">
        <v>5</v>
      </c>
      <c r="AW2" s="9" t="s">
        <v>16</v>
      </c>
      <c r="AX2" s="9" t="s">
        <v>17</v>
      </c>
      <c r="AY2" s="9" t="s">
        <v>18</v>
      </c>
      <c r="AZ2" s="9" t="s">
        <v>19</v>
      </c>
      <c r="BA2" s="9" t="s">
        <v>24</v>
      </c>
      <c r="BB2" s="9" t="s">
        <v>20</v>
      </c>
      <c r="BC2" s="9" t="s">
        <v>21</v>
      </c>
      <c r="BD2" s="10" t="s">
        <v>22</v>
      </c>
      <c r="BE2" s="13" t="s">
        <v>23</v>
      </c>
      <c r="BF2" s="14" t="s">
        <v>40</v>
      </c>
    </row>
    <row r="3" spans="1:66" x14ac:dyDescent="0.25">
      <c r="A3" s="15">
        <v>45893</v>
      </c>
      <c r="B3" s="15">
        <f>A3+4</f>
        <v>45897</v>
      </c>
      <c r="D3" s="16">
        <f t="shared" ref="D3:D27" si="0">A3</f>
        <v>45893</v>
      </c>
      <c r="E3" s="17"/>
      <c r="F3" s="17"/>
      <c r="G3" s="17"/>
      <c r="H3" s="17"/>
      <c r="I3" s="17"/>
      <c r="J3" s="17"/>
      <c r="K3" s="17"/>
      <c r="L3" s="17"/>
      <c r="M3" s="17"/>
      <c r="N3" s="18"/>
      <c r="O3" s="19">
        <f>A3+1</f>
        <v>45894</v>
      </c>
      <c r="P3" s="17"/>
      <c r="Q3" s="17"/>
      <c r="R3" s="17"/>
      <c r="S3" s="17"/>
      <c r="T3" s="17"/>
      <c r="U3" s="17"/>
      <c r="V3" s="17"/>
      <c r="W3" s="17"/>
      <c r="X3" s="17"/>
      <c r="Y3" s="17"/>
      <c r="Z3" s="19">
        <f>A3+2</f>
        <v>45895</v>
      </c>
      <c r="AA3" s="17"/>
      <c r="AB3" s="17"/>
      <c r="AC3" s="17"/>
      <c r="AD3" s="17"/>
      <c r="AE3" s="67"/>
      <c r="AF3" s="17"/>
      <c r="AG3" s="17"/>
      <c r="AH3" s="17"/>
      <c r="AI3" s="17"/>
      <c r="AJ3" s="17"/>
      <c r="AK3" s="19">
        <f>A3+3</f>
        <v>45896</v>
      </c>
      <c r="AL3" s="17"/>
      <c r="AM3" s="17"/>
      <c r="AN3" s="17"/>
      <c r="AO3" s="17"/>
      <c r="AP3" s="17"/>
      <c r="AQ3" s="17"/>
      <c r="AR3" s="20"/>
      <c r="AS3" s="20"/>
      <c r="AT3" s="20"/>
      <c r="AU3" s="17"/>
      <c r="AV3" s="19">
        <f>A3+4</f>
        <v>45897</v>
      </c>
      <c r="AW3" s="17"/>
      <c r="AX3" s="17"/>
      <c r="AY3" s="17"/>
      <c r="AZ3" s="17"/>
      <c r="BA3" s="17"/>
      <c r="BB3" s="67"/>
      <c r="BC3" s="67"/>
      <c r="BD3" s="67"/>
      <c r="BE3" s="21"/>
      <c r="BF3" s="22"/>
    </row>
    <row r="4" spans="1:66" ht="85.5" customHeight="1" x14ac:dyDescent="0.25">
      <c r="A4" s="15">
        <f>B3+3</f>
        <v>45900</v>
      </c>
      <c r="B4" s="15">
        <f t="shared" ref="B4:B27" si="1">A4+4</f>
        <v>45904</v>
      </c>
      <c r="C4" s="23"/>
      <c r="D4" s="24">
        <f t="shared" si="0"/>
        <v>45900</v>
      </c>
      <c r="E4" s="17"/>
      <c r="F4" s="17"/>
      <c r="I4" s="67"/>
      <c r="J4" s="67"/>
      <c r="M4" s="71"/>
      <c r="N4" s="67"/>
      <c r="O4" s="19">
        <f>O3+7</f>
        <v>45901</v>
      </c>
      <c r="P4" s="67"/>
      <c r="Q4" s="159" t="s">
        <v>11</v>
      </c>
      <c r="R4" s="159"/>
      <c r="T4" s="67"/>
      <c r="U4" s="67"/>
      <c r="V4" s="158" t="s">
        <v>28</v>
      </c>
      <c r="W4" s="158"/>
      <c r="X4" s="158"/>
      <c r="Y4" s="67"/>
      <c r="Z4" s="19">
        <f>Z3+7</f>
        <v>45902</v>
      </c>
      <c r="AA4" s="17"/>
      <c r="AB4" s="17"/>
      <c r="AC4" s="159" t="s">
        <v>79</v>
      </c>
      <c r="AD4" s="159"/>
      <c r="AE4" s="17"/>
      <c r="AG4" s="160" t="s">
        <v>164</v>
      </c>
      <c r="AH4" s="160"/>
      <c r="AI4" s="160"/>
      <c r="AJ4" s="17"/>
      <c r="AK4" s="19">
        <f>AK3+7</f>
        <v>45903</v>
      </c>
      <c r="AL4" s="17"/>
      <c r="AM4" s="161" t="s">
        <v>32</v>
      </c>
      <c r="AN4" s="162"/>
      <c r="AO4" s="162"/>
      <c r="AP4" s="17"/>
      <c r="AQ4" s="76"/>
      <c r="AR4" s="160" t="s">
        <v>164</v>
      </c>
      <c r="AS4" s="160"/>
      <c r="AT4" s="160"/>
      <c r="AU4" s="39" t="s">
        <v>161</v>
      </c>
      <c r="AV4" s="19">
        <f>AV3+7</f>
        <v>45904</v>
      </c>
      <c r="AW4" s="17"/>
      <c r="AX4" s="158" t="s">
        <v>27</v>
      </c>
      <c r="AY4" s="158"/>
      <c r="AZ4" s="158"/>
      <c r="BA4" s="17"/>
      <c r="BB4" s="17"/>
      <c r="BC4" s="17"/>
      <c r="BD4" s="17"/>
      <c r="BE4" s="17"/>
      <c r="BF4" s="52"/>
      <c r="BH4" s="164" t="s">
        <v>46</v>
      </c>
      <c r="BI4" s="165"/>
      <c r="BJ4" s="165"/>
      <c r="BK4" s="165"/>
    </row>
    <row r="5" spans="1:66" ht="70.900000000000006" customHeight="1" x14ac:dyDescent="0.25">
      <c r="A5" s="15">
        <f t="shared" ref="A5:A26" si="2">B4+3</f>
        <v>45907</v>
      </c>
      <c r="B5" s="15">
        <f t="shared" si="1"/>
        <v>45911</v>
      </c>
      <c r="D5" s="24">
        <f t="shared" si="0"/>
        <v>45907</v>
      </c>
      <c r="E5" s="166" t="s">
        <v>43</v>
      </c>
      <c r="F5" s="166"/>
      <c r="G5" s="166"/>
      <c r="H5" s="166"/>
      <c r="I5" s="25"/>
      <c r="J5" s="166" t="s">
        <v>43</v>
      </c>
      <c r="K5" s="166"/>
      <c r="L5" s="166"/>
      <c r="M5" s="166"/>
      <c r="N5" s="166"/>
      <c r="O5" s="19">
        <f t="shared" ref="O5:O26" si="3">O4+7</f>
        <v>45908</v>
      </c>
      <c r="P5" s="167" t="s">
        <v>142</v>
      </c>
      <c r="Q5" s="167"/>
      <c r="R5" s="167"/>
      <c r="S5" s="167"/>
      <c r="T5" s="25"/>
      <c r="V5" s="206" t="s">
        <v>188</v>
      </c>
      <c r="W5" s="206"/>
      <c r="X5" s="206"/>
      <c r="Z5" s="19">
        <f t="shared" ref="Z5:Z26" si="4">Z4+7</f>
        <v>45909</v>
      </c>
      <c r="AA5" s="17"/>
      <c r="AB5" s="161" t="s">
        <v>32</v>
      </c>
      <c r="AC5" s="162"/>
      <c r="AD5" s="162"/>
      <c r="AE5" s="17"/>
      <c r="AF5" s="17"/>
      <c r="AG5" s="160" t="s">
        <v>164</v>
      </c>
      <c r="AH5" s="160"/>
      <c r="AI5" s="160"/>
      <c r="AJ5" s="160"/>
      <c r="AK5" s="19">
        <f t="shared" ref="AK5:AK26" si="5">AK4+7</f>
        <v>45910</v>
      </c>
      <c r="AL5" s="6" t="s">
        <v>26</v>
      </c>
      <c r="AM5" s="169" t="s">
        <v>61</v>
      </c>
      <c r="AN5" s="169"/>
      <c r="AO5" s="169"/>
      <c r="AP5" s="90" t="s">
        <v>26</v>
      </c>
      <c r="AQ5" s="169" t="s">
        <v>186</v>
      </c>
      <c r="AR5" s="169"/>
      <c r="AS5" s="161" t="s">
        <v>187</v>
      </c>
      <c r="AT5" s="161"/>
      <c r="AU5" s="161"/>
      <c r="AV5" s="19">
        <f t="shared" ref="AV5:AV26" si="6">AV4+7</f>
        <v>45911</v>
      </c>
      <c r="AW5" s="158" t="s">
        <v>27</v>
      </c>
      <c r="AX5" s="158"/>
      <c r="AY5" s="158" t="s">
        <v>28</v>
      </c>
      <c r="AZ5" s="158"/>
      <c r="BB5" s="17"/>
      <c r="BC5" s="17"/>
      <c r="BD5" s="17"/>
      <c r="BE5" s="17"/>
      <c r="BF5" s="52"/>
      <c r="BH5" s="161" t="s">
        <v>51</v>
      </c>
      <c r="BI5" s="162"/>
      <c r="BJ5" s="162"/>
      <c r="BK5" s="77"/>
      <c r="BL5" s="161" t="s">
        <v>51</v>
      </c>
      <c r="BM5" s="162"/>
      <c r="BN5" s="162"/>
    </row>
    <row r="6" spans="1:66" ht="79.900000000000006" customHeight="1" x14ac:dyDescent="0.25">
      <c r="A6" s="15">
        <f t="shared" si="2"/>
        <v>45914</v>
      </c>
      <c r="B6" s="15">
        <f t="shared" si="1"/>
        <v>45918</v>
      </c>
      <c r="D6" s="24">
        <f t="shared" si="0"/>
        <v>45914</v>
      </c>
      <c r="E6" s="17"/>
      <c r="F6" s="158" t="s">
        <v>27</v>
      </c>
      <c r="G6" s="158"/>
      <c r="H6" s="158"/>
      <c r="I6" s="17"/>
      <c r="J6" s="17"/>
      <c r="K6" s="184" t="s">
        <v>60</v>
      </c>
      <c r="L6" s="184"/>
      <c r="M6" s="184"/>
      <c r="N6" s="17"/>
      <c r="O6" s="19">
        <f t="shared" si="3"/>
        <v>45915</v>
      </c>
      <c r="P6" s="67"/>
      <c r="Q6" s="158" t="s">
        <v>184</v>
      </c>
      <c r="R6" s="163"/>
      <c r="S6" s="163"/>
      <c r="T6" s="17" t="s">
        <v>26</v>
      </c>
      <c r="U6" s="17"/>
      <c r="V6" s="158" t="s">
        <v>28</v>
      </c>
      <c r="W6" s="158"/>
      <c r="X6" s="158"/>
      <c r="Y6" s="67"/>
      <c r="Z6" s="19">
        <f t="shared" si="4"/>
        <v>45916</v>
      </c>
      <c r="AA6" s="161" t="s">
        <v>63</v>
      </c>
      <c r="AB6" s="161"/>
      <c r="AC6" s="161"/>
      <c r="AD6" s="161"/>
      <c r="AF6" s="17"/>
      <c r="AG6" s="207" t="s">
        <v>173</v>
      </c>
      <c r="AH6" s="207"/>
      <c r="AI6" s="207"/>
      <c r="AJ6" s="207"/>
      <c r="AK6" s="19">
        <f t="shared" si="5"/>
        <v>45917</v>
      </c>
      <c r="AL6" s="6" t="s">
        <v>26</v>
      </c>
      <c r="AM6" s="169" t="s">
        <v>30</v>
      </c>
      <c r="AN6" s="169"/>
      <c r="AO6" s="169"/>
      <c r="AP6" s="79"/>
      <c r="AQ6" s="169" t="s">
        <v>30</v>
      </c>
      <c r="AR6" s="169"/>
      <c r="AS6" s="169"/>
      <c r="AT6" s="17" t="s">
        <v>26</v>
      </c>
      <c r="AU6" s="17"/>
      <c r="AV6" s="19">
        <f t="shared" si="6"/>
        <v>45918</v>
      </c>
      <c r="AW6" s="17"/>
      <c r="AX6" s="170" t="s">
        <v>189</v>
      </c>
      <c r="AY6" s="170"/>
      <c r="AZ6" s="170"/>
      <c r="BA6" s="94"/>
      <c r="BB6" s="171" t="s">
        <v>68</v>
      </c>
      <c r="BC6" s="171"/>
      <c r="BD6" s="17"/>
      <c r="BE6" s="17"/>
      <c r="BF6" s="52"/>
      <c r="BH6" s="161" t="s">
        <v>84</v>
      </c>
      <c r="BI6" s="161"/>
      <c r="BJ6" s="161"/>
    </row>
    <row r="7" spans="1:66" ht="60" customHeight="1" x14ac:dyDescent="0.25">
      <c r="A7" s="15">
        <f t="shared" si="2"/>
        <v>45921</v>
      </c>
      <c r="B7" s="15">
        <f t="shared" si="1"/>
        <v>45925</v>
      </c>
      <c r="C7" s="26" t="s">
        <v>39</v>
      </c>
      <c r="D7" s="24">
        <f t="shared" si="0"/>
        <v>45921</v>
      </c>
      <c r="E7" s="17"/>
      <c r="F7" s="158" t="s">
        <v>27</v>
      </c>
      <c r="G7" s="158"/>
      <c r="H7" s="158"/>
      <c r="I7" s="17"/>
      <c r="J7" s="17"/>
      <c r="K7" s="173" t="s">
        <v>179</v>
      </c>
      <c r="L7" s="173"/>
      <c r="M7" s="173"/>
      <c r="N7" s="17" t="s">
        <v>26</v>
      </c>
      <c r="O7" s="19">
        <f t="shared" si="3"/>
        <v>45922</v>
      </c>
      <c r="P7" s="67"/>
      <c r="Q7" s="219"/>
      <c r="R7" s="219"/>
      <c r="S7" s="219"/>
      <c r="T7" s="17"/>
      <c r="U7" s="17"/>
      <c r="V7" s="158" t="s">
        <v>28</v>
      </c>
      <c r="W7" s="158"/>
      <c r="X7" s="158"/>
      <c r="Y7" s="67"/>
      <c r="Z7" s="19">
        <f t="shared" si="4"/>
        <v>45923</v>
      </c>
      <c r="AA7" s="26" t="s">
        <v>162</v>
      </c>
      <c r="AB7" s="171" t="s">
        <v>66</v>
      </c>
      <c r="AC7" s="171"/>
      <c r="AD7" s="171"/>
      <c r="AE7" s="26"/>
      <c r="AF7" s="171" t="s">
        <v>65</v>
      </c>
      <c r="AG7" s="171"/>
      <c r="AH7" s="171"/>
      <c r="AI7" s="26" t="s">
        <v>162</v>
      </c>
      <c r="AJ7" s="26"/>
      <c r="AK7" s="19">
        <f t="shared" si="5"/>
        <v>45924</v>
      </c>
      <c r="AL7" s="26" t="s">
        <v>162</v>
      </c>
      <c r="AM7" s="171" t="s">
        <v>65</v>
      </c>
      <c r="AN7" s="171"/>
      <c r="AO7" s="171"/>
      <c r="AP7" s="26"/>
      <c r="AQ7" s="171" t="s">
        <v>65</v>
      </c>
      <c r="AR7" s="171"/>
      <c r="AS7" s="171"/>
      <c r="AT7" s="26" t="s">
        <v>162</v>
      </c>
      <c r="AU7" s="26"/>
      <c r="AV7" s="19">
        <f t="shared" si="6"/>
        <v>45925</v>
      </c>
      <c r="AW7" s="90"/>
      <c r="AX7" s="170" t="s">
        <v>189</v>
      </c>
      <c r="AY7" s="170"/>
      <c r="AZ7" s="170"/>
      <c r="BA7" s="90"/>
      <c r="BB7" s="90"/>
      <c r="BC7" s="90"/>
      <c r="BD7" s="90"/>
      <c r="BE7" s="90"/>
      <c r="BF7" s="27" t="s">
        <v>39</v>
      </c>
    </row>
    <row r="8" spans="1:66" ht="90.6" customHeight="1" x14ac:dyDescent="0.25">
      <c r="A8" s="15">
        <f t="shared" si="2"/>
        <v>45928</v>
      </c>
      <c r="B8" s="15">
        <f t="shared" si="1"/>
        <v>45932</v>
      </c>
      <c r="D8" s="24">
        <f t="shared" si="0"/>
        <v>45928</v>
      </c>
      <c r="E8" s="17"/>
      <c r="F8" s="158" t="s">
        <v>27</v>
      </c>
      <c r="G8" s="158"/>
      <c r="H8" s="158"/>
      <c r="I8" s="17"/>
      <c r="J8" s="17"/>
      <c r="K8" s="184" t="s">
        <v>60</v>
      </c>
      <c r="L8" s="184"/>
      <c r="M8" s="184"/>
      <c r="N8" s="17"/>
      <c r="O8" s="19">
        <f t="shared" si="3"/>
        <v>45929</v>
      </c>
      <c r="P8" s="17"/>
      <c r="Q8" s="158" t="s">
        <v>154</v>
      </c>
      <c r="R8" s="163"/>
      <c r="S8" s="163"/>
      <c r="T8" s="17"/>
      <c r="U8" s="17"/>
      <c r="V8" s="158" t="s">
        <v>28</v>
      </c>
      <c r="W8" s="158"/>
      <c r="X8" s="158"/>
      <c r="Y8" s="67"/>
      <c r="Z8" s="19">
        <f t="shared" si="4"/>
        <v>45930</v>
      </c>
      <c r="AB8" s="6" t="s">
        <v>26</v>
      </c>
      <c r="AC8" s="164" t="s">
        <v>46</v>
      </c>
      <c r="AD8" s="164"/>
      <c r="AE8" s="164"/>
      <c r="AF8" s="17"/>
      <c r="AG8" s="218" t="s">
        <v>156</v>
      </c>
      <c r="AH8" s="218"/>
      <c r="AI8" s="218"/>
      <c r="AJ8" s="17" t="s">
        <v>162</v>
      </c>
      <c r="AK8" s="19">
        <f t="shared" si="5"/>
        <v>45931</v>
      </c>
      <c r="AL8" s="6" t="s">
        <v>26</v>
      </c>
      <c r="AM8" s="169" t="s">
        <v>30</v>
      </c>
      <c r="AN8" s="169"/>
      <c r="AO8" s="169"/>
      <c r="AP8" s="79"/>
      <c r="AQ8" s="169" t="s">
        <v>30</v>
      </c>
      <c r="AR8" s="169"/>
      <c r="AS8" s="169"/>
      <c r="AT8" s="169"/>
      <c r="AU8" s="17" t="s">
        <v>182</v>
      </c>
      <c r="AV8" s="19">
        <f t="shared" si="6"/>
        <v>45932</v>
      </c>
      <c r="AW8" s="90"/>
      <c r="AX8" s="170" t="s">
        <v>189</v>
      </c>
      <c r="AY8" s="170"/>
      <c r="AZ8" s="170"/>
      <c r="BA8" s="170"/>
      <c r="BB8" s="90"/>
      <c r="BC8" s="172" t="s">
        <v>68</v>
      </c>
      <c r="BD8" s="172"/>
      <c r="BE8" s="172"/>
      <c r="BF8" s="52"/>
      <c r="BH8" s="160" t="s">
        <v>75</v>
      </c>
      <c r="BI8" s="160"/>
      <c r="BJ8" s="160"/>
      <c r="BK8" s="160"/>
      <c r="BL8" s="6" t="s">
        <v>160</v>
      </c>
    </row>
    <row r="9" spans="1:66" ht="89.25" customHeight="1" x14ac:dyDescent="0.25">
      <c r="A9" s="15">
        <f t="shared" si="2"/>
        <v>45935</v>
      </c>
      <c r="B9" s="15">
        <f t="shared" si="1"/>
        <v>45939</v>
      </c>
      <c r="D9" s="24">
        <f t="shared" si="0"/>
        <v>45935</v>
      </c>
      <c r="E9" s="17"/>
      <c r="F9" s="158" t="s">
        <v>27</v>
      </c>
      <c r="G9" s="158"/>
      <c r="H9" s="158"/>
      <c r="I9" s="17"/>
      <c r="J9" s="17"/>
      <c r="K9" s="173" t="s">
        <v>179</v>
      </c>
      <c r="L9" s="173"/>
      <c r="M9" s="173"/>
      <c r="N9" s="17" t="s">
        <v>26</v>
      </c>
      <c r="O9" s="19">
        <f t="shared" si="3"/>
        <v>45936</v>
      </c>
      <c r="P9" s="17"/>
      <c r="Q9" s="158" t="s">
        <v>154</v>
      </c>
      <c r="R9" s="163"/>
      <c r="S9" s="163"/>
      <c r="T9" s="17"/>
      <c r="U9" s="17"/>
      <c r="V9" s="158" t="s">
        <v>28</v>
      </c>
      <c r="W9" s="158"/>
      <c r="X9" s="158"/>
      <c r="Y9" s="67"/>
      <c r="Z9" s="19">
        <f t="shared" si="4"/>
        <v>45937</v>
      </c>
      <c r="AA9" s="81"/>
      <c r="AB9" s="81"/>
      <c r="AC9" s="81"/>
      <c r="AD9" s="80"/>
      <c r="AE9" s="17"/>
      <c r="AF9" s="17"/>
      <c r="AG9" s="218" t="s">
        <v>156</v>
      </c>
      <c r="AH9" s="218"/>
      <c r="AI9" s="218"/>
      <c r="AJ9" s="17" t="s">
        <v>162</v>
      </c>
      <c r="AK9" s="19">
        <f t="shared" si="5"/>
        <v>45938</v>
      </c>
      <c r="AL9" s="169" t="s">
        <v>181</v>
      </c>
      <c r="AM9" s="169"/>
      <c r="AN9" s="169"/>
      <c r="AO9" s="169"/>
      <c r="AP9" s="76" t="s">
        <v>191</v>
      </c>
      <c r="AR9" s="169" t="s">
        <v>168</v>
      </c>
      <c r="AS9" s="169"/>
      <c r="AT9" s="169"/>
      <c r="AU9" s="17" t="s">
        <v>167</v>
      </c>
      <c r="AV9" s="19">
        <f t="shared" si="6"/>
        <v>45939</v>
      </c>
      <c r="AW9" s="53"/>
      <c r="AX9" s="170" t="s">
        <v>190</v>
      </c>
      <c r="AY9" s="170"/>
      <c r="AZ9" s="170"/>
      <c r="BA9" s="170"/>
      <c r="BB9" s="53"/>
      <c r="BC9" s="172" t="s">
        <v>68</v>
      </c>
      <c r="BD9" s="172"/>
      <c r="BE9" s="172"/>
      <c r="BF9" s="52"/>
    </row>
    <row r="10" spans="1:66" ht="73.900000000000006" customHeight="1" x14ac:dyDescent="0.25">
      <c r="A10" s="15">
        <f t="shared" si="2"/>
        <v>45942</v>
      </c>
      <c r="B10" s="15">
        <f t="shared" si="1"/>
        <v>45946</v>
      </c>
      <c r="D10" s="24">
        <f t="shared" si="0"/>
        <v>45942</v>
      </c>
      <c r="E10" s="17"/>
      <c r="F10" s="158" t="s">
        <v>27</v>
      </c>
      <c r="G10" s="158"/>
      <c r="H10" s="158"/>
      <c r="I10" s="17"/>
      <c r="J10" s="17"/>
      <c r="K10" s="184" t="s">
        <v>60</v>
      </c>
      <c r="L10" s="184"/>
      <c r="M10" s="184"/>
      <c r="N10" s="17"/>
      <c r="O10" s="19">
        <f t="shared" si="3"/>
        <v>45943</v>
      </c>
      <c r="P10" s="17"/>
      <c r="Q10" s="158" t="s">
        <v>155</v>
      </c>
      <c r="R10" s="163"/>
      <c r="S10" s="163"/>
      <c r="T10" s="17"/>
      <c r="U10" s="17"/>
      <c r="V10" s="158" t="s">
        <v>28</v>
      </c>
      <c r="W10" s="158"/>
      <c r="X10" s="158"/>
      <c r="Y10" s="17"/>
      <c r="Z10" s="19">
        <f t="shared" si="4"/>
        <v>45944</v>
      </c>
      <c r="AA10" s="6" t="s">
        <v>26</v>
      </c>
      <c r="AB10" s="169" t="s">
        <v>47</v>
      </c>
      <c r="AC10" s="169"/>
      <c r="AD10" s="169"/>
      <c r="AE10" s="90"/>
      <c r="AF10" s="90"/>
      <c r="AG10" s="169" t="s">
        <v>48</v>
      </c>
      <c r="AH10" s="169"/>
      <c r="AI10" s="169"/>
      <c r="AJ10" s="91" t="s">
        <v>26</v>
      </c>
      <c r="AK10" s="19">
        <f t="shared" si="5"/>
        <v>45945</v>
      </c>
      <c r="AL10" s="17" t="s">
        <v>26</v>
      </c>
      <c r="AM10" s="169" t="s">
        <v>47</v>
      </c>
      <c r="AN10" s="169"/>
      <c r="AO10" s="169"/>
      <c r="AP10" s="53"/>
      <c r="AQ10" s="169" t="s">
        <v>48</v>
      </c>
      <c r="AR10" s="169"/>
      <c r="AS10" s="169"/>
      <c r="AT10" s="6" t="s">
        <v>26</v>
      </c>
      <c r="AV10" s="19">
        <f t="shared" si="6"/>
        <v>45946</v>
      </c>
      <c r="AW10" s="174" t="s">
        <v>89</v>
      </c>
      <c r="AX10" s="174"/>
      <c r="AY10" s="174"/>
      <c r="AZ10" s="174"/>
      <c r="BA10" s="174"/>
      <c r="BB10" s="174"/>
      <c r="BC10" s="174"/>
      <c r="BD10" s="174"/>
      <c r="BE10" s="174"/>
      <c r="BF10" s="52"/>
    </row>
    <row r="11" spans="1:66" ht="89.25" customHeight="1" x14ac:dyDescent="0.25">
      <c r="A11" s="15">
        <f t="shared" si="2"/>
        <v>45949</v>
      </c>
      <c r="B11" s="15">
        <f t="shared" si="1"/>
        <v>45953</v>
      </c>
      <c r="C11" s="26" t="s">
        <v>39</v>
      </c>
      <c r="D11" s="24">
        <f t="shared" si="0"/>
        <v>45949</v>
      </c>
      <c r="E11" s="170" t="s">
        <v>190</v>
      </c>
      <c r="F11" s="170"/>
      <c r="G11" s="170"/>
      <c r="H11" s="170"/>
      <c r="I11" s="92"/>
      <c r="J11" s="17" t="s">
        <v>162</v>
      </c>
      <c r="K11" s="173" t="s">
        <v>179</v>
      </c>
      <c r="L11" s="173"/>
      <c r="M11" s="173"/>
      <c r="N11" s="173"/>
      <c r="O11" s="19">
        <f t="shared" si="3"/>
        <v>45950</v>
      </c>
      <c r="Q11" s="158" t="s">
        <v>154</v>
      </c>
      <c r="R11" s="163"/>
      <c r="S11" s="163"/>
      <c r="V11" s="170" t="s">
        <v>185</v>
      </c>
      <c r="W11" s="170"/>
      <c r="X11" s="96" t="s">
        <v>180</v>
      </c>
      <c r="Y11" s="6" t="s">
        <v>26</v>
      </c>
      <c r="Z11" s="19">
        <f t="shared" si="4"/>
        <v>45951</v>
      </c>
      <c r="AA11" s="207" t="s">
        <v>173</v>
      </c>
      <c r="AB11" s="207"/>
      <c r="AC11" s="207"/>
      <c r="AD11" s="207"/>
      <c r="AE11" s="26"/>
      <c r="AF11" s="26"/>
      <c r="AG11" s="26"/>
      <c r="AH11" s="26"/>
      <c r="AI11" s="26"/>
      <c r="AJ11" s="26"/>
      <c r="AK11" s="19">
        <f t="shared" si="5"/>
        <v>45952</v>
      </c>
      <c r="AL11" s="26" t="s">
        <v>192</v>
      </c>
      <c r="AM11" s="171" t="s">
        <v>65</v>
      </c>
      <c r="AN11" s="171"/>
      <c r="AO11" s="171"/>
      <c r="AP11" s="26"/>
      <c r="AQ11" s="171" t="s">
        <v>174</v>
      </c>
      <c r="AR11" s="171"/>
      <c r="AS11" s="171"/>
      <c r="AT11" s="26" t="s">
        <v>26</v>
      </c>
      <c r="AU11" s="26"/>
      <c r="AV11" s="19">
        <f t="shared" si="6"/>
        <v>45953</v>
      </c>
      <c r="AW11" s="53"/>
      <c r="AX11" s="170" t="s">
        <v>190</v>
      </c>
      <c r="AY11" s="170"/>
      <c r="AZ11" s="170"/>
      <c r="BA11" s="170"/>
      <c r="BB11" s="53"/>
      <c r="BC11" s="172" t="s">
        <v>68</v>
      </c>
      <c r="BD11" s="172"/>
      <c r="BE11" s="172"/>
      <c r="BF11" s="27" t="s">
        <v>39</v>
      </c>
    </row>
    <row r="12" spans="1:66" ht="48.75" customHeight="1" x14ac:dyDescent="0.25">
      <c r="A12" s="15">
        <f t="shared" si="2"/>
        <v>45956</v>
      </c>
      <c r="B12" s="15">
        <f t="shared" si="1"/>
        <v>45960</v>
      </c>
      <c r="C12" s="6" t="s">
        <v>153</v>
      </c>
      <c r="D12" s="24">
        <f t="shared" si="0"/>
        <v>45956</v>
      </c>
      <c r="E12" s="176" t="s">
        <v>44</v>
      </c>
      <c r="F12" s="176"/>
      <c r="G12" s="176"/>
      <c r="H12" s="176"/>
      <c r="I12" s="176"/>
      <c r="J12" s="176" t="s">
        <v>44</v>
      </c>
      <c r="K12" s="176"/>
      <c r="L12" s="176"/>
      <c r="M12" s="176"/>
      <c r="N12" s="176"/>
      <c r="O12" s="19">
        <f t="shared" si="3"/>
        <v>45957</v>
      </c>
      <c r="P12" s="176" t="s">
        <v>44</v>
      </c>
      <c r="Q12" s="176"/>
      <c r="R12" s="176"/>
      <c r="S12" s="176"/>
      <c r="T12" s="176"/>
      <c r="U12" s="176" t="s">
        <v>44</v>
      </c>
      <c r="V12" s="176"/>
      <c r="W12" s="176"/>
      <c r="X12" s="176"/>
      <c r="Y12" s="176"/>
      <c r="Z12" s="19">
        <f t="shared" si="4"/>
        <v>45958</v>
      </c>
      <c r="AA12" s="176" t="s">
        <v>44</v>
      </c>
      <c r="AB12" s="176"/>
      <c r="AC12" s="176"/>
      <c r="AD12" s="176"/>
      <c r="AE12" s="176"/>
      <c r="AF12" s="176" t="s">
        <v>44</v>
      </c>
      <c r="AG12" s="176"/>
      <c r="AH12" s="176"/>
      <c r="AI12" s="176"/>
      <c r="AJ12" s="176"/>
      <c r="AK12" s="19">
        <f t="shared" si="5"/>
        <v>45959</v>
      </c>
      <c r="AL12" s="176" t="s">
        <v>44</v>
      </c>
      <c r="AM12" s="176"/>
      <c r="AN12" s="176"/>
      <c r="AO12" s="176"/>
      <c r="AP12" s="176"/>
      <c r="AQ12" s="176" t="s">
        <v>44</v>
      </c>
      <c r="AR12" s="176"/>
      <c r="AS12" s="176"/>
      <c r="AT12" s="176"/>
      <c r="AU12" s="176"/>
      <c r="AV12" s="19">
        <f t="shared" si="6"/>
        <v>45960</v>
      </c>
      <c r="AW12" s="176" t="s">
        <v>44</v>
      </c>
      <c r="AX12" s="176"/>
      <c r="AY12" s="176"/>
      <c r="AZ12" s="176"/>
      <c r="BA12" s="176"/>
      <c r="BB12" s="176"/>
      <c r="BC12" s="176"/>
      <c r="BD12" s="176"/>
      <c r="BE12" s="217"/>
      <c r="BF12" s="22"/>
    </row>
    <row r="13" spans="1:66" ht="75" customHeight="1" x14ac:dyDescent="0.25">
      <c r="A13" s="15">
        <f t="shared" si="2"/>
        <v>45963</v>
      </c>
      <c r="B13" s="15">
        <f t="shared" si="1"/>
        <v>45967</v>
      </c>
      <c r="D13" s="24">
        <f t="shared" si="0"/>
        <v>45963</v>
      </c>
      <c r="E13" s="93"/>
      <c r="F13" s="158" t="s">
        <v>177</v>
      </c>
      <c r="G13" s="158"/>
      <c r="H13" s="158"/>
      <c r="I13" s="17" t="s">
        <v>26</v>
      </c>
      <c r="J13" s="17"/>
      <c r="K13" s="184" t="s">
        <v>198</v>
      </c>
      <c r="L13" s="184"/>
      <c r="M13" s="184"/>
      <c r="N13" s="184"/>
      <c r="O13" s="19">
        <f t="shared" si="3"/>
        <v>45964</v>
      </c>
      <c r="P13" s="67"/>
      <c r="Q13" s="158" t="s">
        <v>154</v>
      </c>
      <c r="R13" s="158"/>
      <c r="S13" s="158"/>
      <c r="T13" s="74"/>
      <c r="U13" s="74"/>
      <c r="V13" s="74"/>
      <c r="W13" s="74"/>
      <c r="X13" s="74"/>
      <c r="Y13" s="67"/>
      <c r="Z13" s="19">
        <f t="shared" si="4"/>
        <v>45965</v>
      </c>
      <c r="AA13" s="169" t="s">
        <v>165</v>
      </c>
      <c r="AB13" s="169"/>
      <c r="AC13" s="169"/>
      <c r="AD13" s="6" t="s">
        <v>26</v>
      </c>
      <c r="AE13" s="67"/>
      <c r="AF13" s="67" t="s">
        <v>162</v>
      </c>
      <c r="AG13" s="214" t="s">
        <v>157</v>
      </c>
      <c r="AH13" s="214"/>
      <c r="AI13" s="214"/>
      <c r="AJ13" s="67"/>
      <c r="AK13" s="19">
        <f t="shared" si="5"/>
        <v>45966</v>
      </c>
      <c r="AL13" s="17" t="s">
        <v>166</v>
      </c>
      <c r="AM13" s="161" t="s">
        <v>51</v>
      </c>
      <c r="AN13" s="162"/>
      <c r="AO13" s="162"/>
      <c r="AP13" s="77"/>
      <c r="AQ13" s="161" t="s">
        <v>51</v>
      </c>
      <c r="AR13" s="162"/>
      <c r="AS13" s="162"/>
      <c r="AT13" s="76" t="s">
        <v>167</v>
      </c>
      <c r="AV13" s="19">
        <f t="shared" si="6"/>
        <v>45967</v>
      </c>
      <c r="AW13" s="17"/>
      <c r="AX13" s="181" t="s">
        <v>98</v>
      </c>
      <c r="AY13" s="181"/>
      <c r="AZ13" s="181"/>
      <c r="BA13" s="181"/>
      <c r="BB13" s="17"/>
      <c r="BC13" s="171" t="s">
        <v>68</v>
      </c>
      <c r="BD13" s="171"/>
      <c r="BE13" s="171"/>
      <c r="BF13" s="22"/>
    </row>
    <row r="14" spans="1:66" ht="72" customHeight="1" x14ac:dyDescent="0.25">
      <c r="A14" s="15">
        <f t="shared" si="2"/>
        <v>45970</v>
      </c>
      <c r="B14" s="15">
        <f t="shared" si="1"/>
        <v>45974</v>
      </c>
      <c r="C14" s="23"/>
      <c r="D14" s="24">
        <f t="shared" si="0"/>
        <v>45970</v>
      </c>
      <c r="E14" s="93"/>
      <c r="F14" s="158" t="s">
        <v>177</v>
      </c>
      <c r="G14" s="158"/>
      <c r="H14" s="158"/>
      <c r="I14" s="17" t="s">
        <v>26</v>
      </c>
      <c r="J14" s="17"/>
      <c r="K14" s="171" t="s">
        <v>68</v>
      </c>
      <c r="L14" s="171"/>
      <c r="M14" s="171"/>
      <c r="N14" s="17"/>
      <c r="O14" s="19">
        <f t="shared" si="3"/>
        <v>45971</v>
      </c>
      <c r="P14" s="74"/>
      <c r="Q14" s="184" t="s">
        <v>109</v>
      </c>
      <c r="R14" s="184"/>
      <c r="S14" s="74"/>
      <c r="T14" s="74"/>
      <c r="U14" s="74"/>
      <c r="V14" s="74"/>
      <c r="W14" s="74"/>
      <c r="X14" s="74"/>
      <c r="Y14" s="74"/>
      <c r="Z14" s="19">
        <f t="shared" si="4"/>
        <v>45972</v>
      </c>
      <c r="AA14" s="176" t="s">
        <v>54</v>
      </c>
      <c r="AB14" s="176"/>
      <c r="AC14" s="176"/>
      <c r="AD14" s="176"/>
      <c r="AE14" s="176"/>
      <c r="AF14" s="176"/>
      <c r="AG14" s="176"/>
      <c r="AH14" s="176"/>
      <c r="AI14" s="176"/>
      <c r="AJ14" s="176"/>
      <c r="AK14" s="19">
        <f t="shared" si="5"/>
        <v>45973</v>
      </c>
      <c r="AL14" s="97"/>
      <c r="AM14" s="223" t="s">
        <v>196</v>
      </c>
      <c r="AN14" s="223"/>
      <c r="AO14" s="97"/>
      <c r="AP14" s="97" t="s">
        <v>26</v>
      </c>
      <c r="AQ14" s="169" t="s">
        <v>33</v>
      </c>
      <c r="AR14" s="169"/>
      <c r="AS14" s="169"/>
      <c r="AT14" s="169"/>
      <c r="AU14" s="169"/>
      <c r="AV14" s="19">
        <f t="shared" si="6"/>
        <v>45974</v>
      </c>
      <c r="AW14" s="17"/>
      <c r="AX14" s="178" t="s">
        <v>64</v>
      </c>
      <c r="AY14" s="179"/>
      <c r="AZ14" s="179"/>
      <c r="BA14" s="179"/>
      <c r="BB14" s="17" t="s">
        <v>162</v>
      </c>
      <c r="BC14" s="171" t="s">
        <v>68</v>
      </c>
      <c r="BD14" s="171"/>
      <c r="BE14" s="171"/>
      <c r="BF14" s="21"/>
      <c r="BH14" s="174" t="s">
        <v>140</v>
      </c>
      <c r="BI14" s="174"/>
      <c r="BJ14" s="174"/>
    </row>
    <row r="15" spans="1:66" ht="60" customHeight="1" x14ac:dyDescent="0.25">
      <c r="A15" s="15">
        <f t="shared" si="2"/>
        <v>45977</v>
      </c>
      <c r="B15" s="15">
        <f t="shared" si="1"/>
        <v>45981</v>
      </c>
      <c r="C15" s="23"/>
      <c r="D15" s="24">
        <f t="shared" si="0"/>
        <v>45977</v>
      </c>
      <c r="E15" s="158" t="s">
        <v>177</v>
      </c>
      <c r="F15" s="158"/>
      <c r="G15" s="158"/>
      <c r="H15" s="158"/>
      <c r="I15" s="17" t="s">
        <v>26</v>
      </c>
      <c r="J15" s="17"/>
      <c r="K15" s="171" t="s">
        <v>68</v>
      </c>
      <c r="L15" s="171"/>
      <c r="M15" s="171"/>
      <c r="N15" s="17"/>
      <c r="O15" s="19">
        <f t="shared" si="3"/>
        <v>45978</v>
      </c>
      <c r="P15" s="17"/>
      <c r="Q15" s="184" t="s">
        <v>129</v>
      </c>
      <c r="R15" s="211"/>
      <c r="S15" s="17"/>
      <c r="T15" s="17"/>
      <c r="U15" s="17"/>
      <c r="V15" s="74"/>
      <c r="W15" s="74"/>
      <c r="X15" s="74"/>
      <c r="Y15" s="17"/>
      <c r="Z15" s="19">
        <f t="shared" si="4"/>
        <v>45979</v>
      </c>
      <c r="AA15" s="169" t="s">
        <v>165</v>
      </c>
      <c r="AB15" s="169"/>
      <c r="AC15" s="169"/>
      <c r="AD15" s="81" t="s">
        <v>26</v>
      </c>
      <c r="AE15" s="67"/>
      <c r="AF15" s="67" t="s">
        <v>162</v>
      </c>
      <c r="AG15" s="214" t="s">
        <v>157</v>
      </c>
      <c r="AH15" s="214"/>
      <c r="AI15" s="221" t="s">
        <v>146</v>
      </c>
      <c r="AJ15" s="221"/>
      <c r="AK15" s="19">
        <f t="shared" si="5"/>
        <v>45980</v>
      </c>
      <c r="AL15" s="74" t="s">
        <v>167</v>
      </c>
      <c r="AM15" s="164" t="s">
        <v>145</v>
      </c>
      <c r="AN15" s="164"/>
      <c r="AO15" s="17" t="s">
        <v>26</v>
      </c>
      <c r="AP15" s="169" t="s">
        <v>33</v>
      </c>
      <c r="AQ15" s="169"/>
      <c r="AR15" s="169"/>
      <c r="AS15" s="169"/>
      <c r="AT15" s="169"/>
      <c r="AU15" s="55" t="s">
        <v>77</v>
      </c>
      <c r="AV15" s="19">
        <f t="shared" si="6"/>
        <v>45981</v>
      </c>
      <c r="AW15" s="17"/>
      <c r="AX15" s="158" t="s">
        <v>35</v>
      </c>
      <c r="AY15" s="163"/>
      <c r="AZ15" s="163"/>
      <c r="BA15" s="163"/>
      <c r="BB15" s="17" t="s">
        <v>162</v>
      </c>
      <c r="BC15" s="171" t="s">
        <v>68</v>
      </c>
      <c r="BD15" s="171"/>
      <c r="BE15" s="171"/>
      <c r="BF15" s="21"/>
    </row>
    <row r="16" spans="1:66" ht="72" customHeight="1" x14ac:dyDescent="0.25">
      <c r="A16" s="15">
        <f t="shared" si="2"/>
        <v>45984</v>
      </c>
      <c r="B16" s="15">
        <f t="shared" si="1"/>
        <v>45988</v>
      </c>
      <c r="C16" s="26" t="s">
        <v>39</v>
      </c>
      <c r="D16" s="24">
        <f t="shared" si="0"/>
        <v>45984</v>
      </c>
      <c r="F16" s="171" t="s">
        <v>68</v>
      </c>
      <c r="G16" s="171"/>
      <c r="H16" s="171"/>
      <c r="I16" s="17"/>
      <c r="J16" s="17"/>
      <c r="K16" s="171" t="s">
        <v>68</v>
      </c>
      <c r="L16" s="171"/>
      <c r="M16" s="171"/>
      <c r="N16" s="17"/>
      <c r="O16" s="19">
        <f t="shared" si="3"/>
        <v>45985</v>
      </c>
      <c r="P16" s="17"/>
      <c r="Q16" s="184" t="s">
        <v>110</v>
      </c>
      <c r="R16" s="184"/>
      <c r="S16" s="184"/>
      <c r="T16" s="17"/>
      <c r="U16" s="17"/>
      <c r="V16" s="184" t="s">
        <v>128</v>
      </c>
      <c r="W16" s="184"/>
      <c r="X16" s="184"/>
      <c r="Z16" s="19">
        <f t="shared" si="4"/>
        <v>45986</v>
      </c>
      <c r="AA16" s="169" t="s">
        <v>165</v>
      </c>
      <c r="AB16" s="169"/>
      <c r="AC16" s="169"/>
      <c r="AD16" s="169"/>
      <c r="AE16" s="67" t="s">
        <v>26</v>
      </c>
      <c r="AG16" s="160" t="s">
        <v>86</v>
      </c>
      <c r="AH16" s="187"/>
      <c r="AI16" s="187"/>
      <c r="AJ16" s="83" t="s">
        <v>163</v>
      </c>
      <c r="AK16" s="19">
        <f t="shared" si="5"/>
        <v>45987</v>
      </c>
      <c r="AL16" s="207" t="s">
        <v>173</v>
      </c>
      <c r="AM16" s="207"/>
      <c r="AN16" s="207"/>
      <c r="AO16" s="207"/>
      <c r="AP16" s="17" t="s">
        <v>183</v>
      </c>
      <c r="AQ16" s="164" t="s">
        <v>53</v>
      </c>
      <c r="AR16" s="164"/>
      <c r="AS16" s="164" t="s">
        <v>101</v>
      </c>
      <c r="AT16" s="164"/>
      <c r="AU16" s="55" t="s">
        <v>77</v>
      </c>
      <c r="AV16" s="19">
        <f t="shared" si="6"/>
        <v>45988</v>
      </c>
      <c r="AW16" s="17"/>
      <c r="AX16" s="158" t="s">
        <v>35</v>
      </c>
      <c r="AY16" s="163"/>
      <c r="AZ16" s="163"/>
      <c r="BA16" s="163"/>
      <c r="BB16" s="17" t="s">
        <v>162</v>
      </c>
      <c r="BC16" s="171" t="s">
        <v>68</v>
      </c>
      <c r="BD16" s="171"/>
      <c r="BE16" s="171"/>
      <c r="BF16" s="27" t="s">
        <v>39</v>
      </c>
    </row>
    <row r="17" spans="1:66" ht="69" customHeight="1" x14ac:dyDescent="0.25">
      <c r="A17" s="15">
        <f t="shared" si="2"/>
        <v>45991</v>
      </c>
      <c r="B17" s="15">
        <f t="shared" si="1"/>
        <v>45995</v>
      </c>
      <c r="C17" s="28"/>
      <c r="D17" s="24">
        <f t="shared" si="0"/>
        <v>45991</v>
      </c>
      <c r="E17" s="17"/>
      <c r="F17" s="171" t="s">
        <v>68</v>
      </c>
      <c r="G17" s="171"/>
      <c r="H17" s="171"/>
      <c r="I17" s="17"/>
      <c r="J17" s="17"/>
      <c r="K17" s="171" t="s">
        <v>68</v>
      </c>
      <c r="L17" s="171"/>
      <c r="M17" s="171"/>
      <c r="N17" s="17"/>
      <c r="O17" s="19">
        <f t="shared" si="3"/>
        <v>45992</v>
      </c>
      <c r="Q17" s="184" t="s">
        <v>141</v>
      </c>
      <c r="R17" s="184"/>
      <c r="V17" s="74"/>
      <c r="W17" s="74"/>
      <c r="X17" s="74"/>
      <c r="Z17" s="19">
        <f t="shared" si="4"/>
        <v>45993</v>
      </c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19">
        <f t="shared" si="5"/>
        <v>45994</v>
      </c>
      <c r="AL17" s="26"/>
      <c r="AM17" s="185" t="s">
        <v>159</v>
      </c>
      <c r="AN17" s="186"/>
      <c r="AO17" s="88"/>
      <c r="AP17" s="185" t="s">
        <v>120</v>
      </c>
      <c r="AQ17" s="186"/>
      <c r="AR17" s="26"/>
      <c r="AS17" s="26"/>
      <c r="AT17" s="26"/>
      <c r="AU17" s="26"/>
      <c r="AV17" s="19">
        <f t="shared" si="6"/>
        <v>45995</v>
      </c>
      <c r="AW17" s="17"/>
      <c r="AX17" s="158" t="s">
        <v>35</v>
      </c>
      <c r="AY17" s="163"/>
      <c r="AZ17" s="163"/>
      <c r="BA17" s="163"/>
      <c r="BB17" s="17" t="s">
        <v>162</v>
      </c>
      <c r="BC17" s="171" t="s">
        <v>68</v>
      </c>
      <c r="BD17" s="171"/>
      <c r="BE17" s="171"/>
      <c r="BF17" s="22"/>
      <c r="BG17" s="59"/>
      <c r="BK17" s="59"/>
    </row>
    <row r="18" spans="1:66" ht="94.15" customHeight="1" x14ac:dyDescent="0.25">
      <c r="A18" s="15">
        <f t="shared" si="2"/>
        <v>45998</v>
      </c>
      <c r="B18" s="15">
        <f t="shared" si="1"/>
        <v>46002</v>
      </c>
      <c r="C18" s="28"/>
      <c r="D18" s="24">
        <f t="shared" si="0"/>
        <v>45998</v>
      </c>
      <c r="E18" s="17"/>
      <c r="F18" s="171" t="s">
        <v>68</v>
      </c>
      <c r="G18" s="171"/>
      <c r="H18" s="171"/>
      <c r="I18" s="17"/>
      <c r="J18" s="17"/>
      <c r="K18" s="171" t="s">
        <v>68</v>
      </c>
      <c r="L18" s="171"/>
      <c r="M18" s="171"/>
      <c r="N18" s="17"/>
      <c r="O18" s="19">
        <f t="shared" si="3"/>
        <v>45999</v>
      </c>
      <c r="P18" s="164" t="s">
        <v>121</v>
      </c>
      <c r="Q18" s="164"/>
      <c r="R18" s="164"/>
      <c r="S18" s="164"/>
      <c r="T18" s="17" t="s">
        <v>167</v>
      </c>
      <c r="U18" s="17" t="s">
        <v>167</v>
      </c>
      <c r="V18" s="164" t="s">
        <v>123</v>
      </c>
      <c r="W18" s="164"/>
      <c r="X18" s="164"/>
      <c r="Y18" s="164"/>
      <c r="Z18" s="19">
        <f t="shared" si="4"/>
        <v>46000</v>
      </c>
      <c r="AA18" s="17" t="s">
        <v>167</v>
      </c>
      <c r="AB18" s="188" t="s">
        <v>144</v>
      </c>
      <c r="AC18" s="188"/>
      <c r="AD18" s="188"/>
      <c r="AE18" s="188"/>
      <c r="AF18" s="17" t="s">
        <v>167</v>
      </c>
      <c r="AG18" s="188" t="s">
        <v>199</v>
      </c>
      <c r="AH18" s="188"/>
      <c r="AI18" s="188"/>
      <c r="AJ18" s="188"/>
      <c r="AK18" s="19">
        <f t="shared" si="5"/>
        <v>46001</v>
      </c>
      <c r="AL18" s="6" t="s">
        <v>167</v>
      </c>
      <c r="AM18" s="169" t="s">
        <v>76</v>
      </c>
      <c r="AN18" s="169"/>
      <c r="AO18" s="169"/>
      <c r="AQ18" s="207" t="s">
        <v>173</v>
      </c>
      <c r="AR18" s="207"/>
      <c r="AS18" s="207"/>
      <c r="AT18" s="207"/>
      <c r="AV18" s="19">
        <f t="shared" si="6"/>
        <v>46002</v>
      </c>
      <c r="AW18" s="17"/>
      <c r="AX18" s="158" t="s">
        <v>35</v>
      </c>
      <c r="AY18" s="163"/>
      <c r="AZ18" s="163"/>
      <c r="BA18" s="163"/>
      <c r="BB18" s="17" t="s">
        <v>162</v>
      </c>
      <c r="BC18" s="171" t="s">
        <v>68</v>
      </c>
      <c r="BD18" s="171"/>
      <c r="BE18" s="171"/>
      <c r="BF18" s="22"/>
      <c r="BG18" s="164" t="s">
        <v>34</v>
      </c>
      <c r="BH18" s="164"/>
      <c r="BI18" s="164"/>
      <c r="BJ18" s="164"/>
      <c r="BK18" s="164" t="s">
        <v>117</v>
      </c>
      <c r="BL18" s="164"/>
      <c r="BM18" s="164"/>
      <c r="BN18" s="164"/>
    </row>
    <row r="19" spans="1:66" ht="80.25" customHeight="1" x14ac:dyDescent="0.25">
      <c r="A19" s="15">
        <f t="shared" si="2"/>
        <v>46005</v>
      </c>
      <c r="B19" s="15">
        <f t="shared" si="1"/>
        <v>46009</v>
      </c>
      <c r="D19" s="24">
        <f t="shared" si="0"/>
        <v>46005</v>
      </c>
      <c r="E19" s="17"/>
      <c r="F19" s="171" t="s">
        <v>68</v>
      </c>
      <c r="G19" s="171"/>
      <c r="H19" s="171"/>
      <c r="I19" s="17"/>
      <c r="J19" s="17"/>
      <c r="K19" s="171" t="s">
        <v>68</v>
      </c>
      <c r="L19" s="171"/>
      <c r="M19" s="171"/>
      <c r="N19" s="17"/>
      <c r="O19" s="19">
        <f t="shared" si="3"/>
        <v>46006</v>
      </c>
      <c r="P19" s="164" t="s">
        <v>193</v>
      </c>
      <c r="Q19" s="164"/>
      <c r="R19" s="164"/>
      <c r="S19" s="164"/>
      <c r="T19" s="17" t="s">
        <v>162</v>
      </c>
      <c r="U19" s="17" t="s">
        <v>162</v>
      </c>
      <c r="V19" s="164" t="s">
        <v>194</v>
      </c>
      <c r="W19" s="164"/>
      <c r="X19" s="164"/>
      <c r="Y19" s="164"/>
      <c r="Z19" s="19">
        <f t="shared" si="4"/>
        <v>46007</v>
      </c>
      <c r="AA19" s="67" t="s">
        <v>162</v>
      </c>
      <c r="AB19" s="188" t="s">
        <v>195</v>
      </c>
      <c r="AC19" s="188"/>
      <c r="AD19" s="188"/>
      <c r="AE19" s="188"/>
      <c r="AG19" s="215" t="s">
        <v>86</v>
      </c>
      <c r="AH19" s="216"/>
      <c r="AI19" s="216"/>
      <c r="AJ19" s="54"/>
      <c r="AK19" s="19">
        <f t="shared" si="5"/>
        <v>46008</v>
      </c>
      <c r="AL19" s="222" t="s">
        <v>169</v>
      </c>
      <c r="AM19" s="222"/>
      <c r="AN19" s="222"/>
      <c r="AO19" s="222"/>
      <c r="AP19" s="222"/>
      <c r="AQ19" s="222"/>
      <c r="AR19" s="222"/>
      <c r="AS19" s="222"/>
      <c r="AT19" s="222"/>
      <c r="AU19" s="222"/>
      <c r="AV19" s="19">
        <f t="shared" si="6"/>
        <v>46009</v>
      </c>
      <c r="AW19" s="17"/>
      <c r="AX19" s="158" t="s">
        <v>35</v>
      </c>
      <c r="AY19" s="163"/>
      <c r="AZ19" s="163"/>
      <c r="BA19" s="163"/>
      <c r="BB19" s="17" t="s">
        <v>162</v>
      </c>
      <c r="BC19" s="95"/>
      <c r="BD19" s="95"/>
      <c r="BE19" s="95"/>
      <c r="BF19" s="22"/>
      <c r="BG19" s="58" t="s">
        <v>111</v>
      </c>
    </row>
    <row r="20" spans="1:66" ht="29.25" customHeight="1" x14ac:dyDescent="0.25">
      <c r="A20" s="15">
        <f t="shared" si="2"/>
        <v>46012</v>
      </c>
      <c r="B20" s="15">
        <f t="shared" si="1"/>
        <v>46016</v>
      </c>
      <c r="D20" s="24">
        <f t="shared" si="0"/>
        <v>46012</v>
      </c>
      <c r="E20" s="176" t="s">
        <v>44</v>
      </c>
      <c r="F20" s="176"/>
      <c r="G20" s="176"/>
      <c r="H20" s="176"/>
      <c r="I20" s="176"/>
      <c r="J20" s="176" t="s">
        <v>44</v>
      </c>
      <c r="K20" s="176"/>
      <c r="L20" s="176"/>
      <c r="M20" s="176"/>
      <c r="N20" s="176"/>
      <c r="O20" s="19">
        <f t="shared" si="3"/>
        <v>46013</v>
      </c>
      <c r="P20" s="176" t="s">
        <v>44</v>
      </c>
      <c r="Q20" s="176"/>
      <c r="R20" s="176"/>
      <c r="S20" s="176"/>
      <c r="T20" s="176"/>
      <c r="U20" s="176" t="s">
        <v>44</v>
      </c>
      <c r="V20" s="176"/>
      <c r="W20" s="176"/>
      <c r="X20" s="176"/>
      <c r="Y20" s="176"/>
      <c r="Z20" s="19">
        <f t="shared" si="4"/>
        <v>46014</v>
      </c>
      <c r="AA20" s="176" t="s">
        <v>44</v>
      </c>
      <c r="AB20" s="176"/>
      <c r="AC20" s="176"/>
      <c r="AD20" s="176"/>
      <c r="AE20" s="176"/>
      <c r="AF20" s="176" t="s">
        <v>44</v>
      </c>
      <c r="AG20" s="176"/>
      <c r="AH20" s="176"/>
      <c r="AI20" s="176"/>
      <c r="AJ20" s="176"/>
      <c r="AK20" s="19">
        <f t="shared" si="5"/>
        <v>46015</v>
      </c>
      <c r="AL20" s="176" t="s">
        <v>44</v>
      </c>
      <c r="AM20" s="176"/>
      <c r="AN20" s="176"/>
      <c r="AO20" s="176"/>
      <c r="AP20" s="176"/>
      <c r="AQ20" s="176" t="s">
        <v>44</v>
      </c>
      <c r="AR20" s="176"/>
      <c r="AS20" s="176"/>
      <c r="AT20" s="176"/>
      <c r="AU20" s="176"/>
      <c r="AV20" s="19">
        <f t="shared" si="6"/>
        <v>46016</v>
      </c>
      <c r="AW20" s="176" t="s">
        <v>44</v>
      </c>
      <c r="AX20" s="176"/>
      <c r="AY20" s="176"/>
      <c r="AZ20" s="176"/>
      <c r="BA20" s="176"/>
      <c r="BB20" s="176"/>
      <c r="BC20" s="176"/>
      <c r="BD20" s="176"/>
      <c r="BE20" s="217"/>
      <c r="BF20" s="22"/>
    </row>
    <row r="21" spans="1:66" ht="32.25" customHeight="1" x14ac:dyDescent="0.25">
      <c r="A21" s="15">
        <f t="shared" si="2"/>
        <v>46019</v>
      </c>
      <c r="B21" s="15">
        <f t="shared" si="1"/>
        <v>46023</v>
      </c>
      <c r="D21" s="24">
        <f t="shared" si="0"/>
        <v>46019</v>
      </c>
      <c r="E21" s="176" t="s">
        <v>44</v>
      </c>
      <c r="F21" s="176"/>
      <c r="G21" s="176"/>
      <c r="H21" s="176"/>
      <c r="I21" s="176"/>
      <c r="J21" s="176" t="s">
        <v>44</v>
      </c>
      <c r="K21" s="176"/>
      <c r="L21" s="176"/>
      <c r="M21" s="176"/>
      <c r="N21" s="176"/>
      <c r="O21" s="19">
        <f t="shared" si="3"/>
        <v>46020</v>
      </c>
      <c r="P21" s="176" t="s">
        <v>44</v>
      </c>
      <c r="Q21" s="176"/>
      <c r="R21" s="176"/>
      <c r="S21" s="176"/>
      <c r="T21" s="176"/>
      <c r="U21" s="176" t="s">
        <v>44</v>
      </c>
      <c r="V21" s="176"/>
      <c r="W21" s="176"/>
      <c r="X21" s="176"/>
      <c r="Y21" s="176"/>
      <c r="Z21" s="19">
        <f t="shared" si="4"/>
        <v>46021</v>
      </c>
      <c r="AA21" s="176" t="s">
        <v>44</v>
      </c>
      <c r="AB21" s="176"/>
      <c r="AC21" s="176"/>
      <c r="AD21" s="176"/>
      <c r="AE21" s="176"/>
      <c r="AF21" s="176" t="s">
        <v>44</v>
      </c>
      <c r="AG21" s="176"/>
      <c r="AH21" s="176"/>
      <c r="AI21" s="176"/>
      <c r="AJ21" s="176"/>
      <c r="AK21" s="19">
        <f t="shared" si="5"/>
        <v>46022</v>
      </c>
      <c r="AL21" s="176" t="s">
        <v>44</v>
      </c>
      <c r="AM21" s="176"/>
      <c r="AN21" s="176"/>
      <c r="AO21" s="176"/>
      <c r="AP21" s="176"/>
      <c r="AQ21" s="176" t="s">
        <v>44</v>
      </c>
      <c r="AR21" s="176"/>
      <c r="AS21" s="176"/>
      <c r="AT21" s="176"/>
      <c r="AU21" s="176"/>
      <c r="AV21" s="19">
        <f t="shared" si="6"/>
        <v>46023</v>
      </c>
      <c r="AW21" s="176" t="s">
        <v>44</v>
      </c>
      <c r="AX21" s="176"/>
      <c r="AY21" s="176"/>
      <c r="AZ21" s="176"/>
      <c r="BA21" s="176"/>
      <c r="BB21" s="176"/>
      <c r="BC21" s="176"/>
      <c r="BD21" s="176"/>
      <c r="BE21" s="217"/>
      <c r="BF21" s="22"/>
    </row>
    <row r="22" spans="1:66" ht="75.75" customHeight="1" x14ac:dyDescent="0.25">
      <c r="A22" s="15">
        <f t="shared" si="2"/>
        <v>46026</v>
      </c>
      <c r="B22" s="15">
        <f t="shared" si="1"/>
        <v>46030</v>
      </c>
      <c r="C22" s="26" t="s">
        <v>39</v>
      </c>
      <c r="D22" s="24">
        <f t="shared" si="0"/>
        <v>46026</v>
      </c>
      <c r="E22" s="17"/>
      <c r="F22" s="158" t="s">
        <v>175</v>
      </c>
      <c r="G22" s="158"/>
      <c r="H22" s="158"/>
      <c r="I22" s="87"/>
      <c r="J22" s="87"/>
      <c r="K22" s="158" t="s">
        <v>176</v>
      </c>
      <c r="L22" s="158"/>
      <c r="M22" s="89"/>
      <c r="N22" s="17"/>
      <c r="O22" s="19">
        <f t="shared" si="3"/>
        <v>46027</v>
      </c>
      <c r="Q22" s="184" t="s">
        <v>131</v>
      </c>
      <c r="R22" s="184"/>
      <c r="S22" s="184"/>
      <c r="T22" s="184"/>
      <c r="U22" s="184"/>
      <c r="V22" s="17"/>
      <c r="W22" s="171" t="s">
        <v>68</v>
      </c>
      <c r="X22" s="171"/>
      <c r="Y22" s="171"/>
      <c r="Z22" s="19">
        <f t="shared" si="4"/>
        <v>46028</v>
      </c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19">
        <f t="shared" si="5"/>
        <v>46029</v>
      </c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19">
        <f t="shared" si="6"/>
        <v>46030</v>
      </c>
      <c r="AW22" s="17"/>
      <c r="AX22" s="184" t="s">
        <v>178</v>
      </c>
      <c r="AY22" s="184"/>
      <c r="AZ22" s="184"/>
      <c r="BA22" s="212"/>
      <c r="BB22" s="17"/>
      <c r="BC22" s="171" t="s">
        <v>68</v>
      </c>
      <c r="BD22" s="171"/>
      <c r="BE22" s="171"/>
      <c r="BF22" s="27" t="s">
        <v>39</v>
      </c>
    </row>
    <row r="23" spans="1:66" ht="107.25" customHeight="1" x14ac:dyDescent="0.25">
      <c r="A23" s="15">
        <f t="shared" si="2"/>
        <v>46033</v>
      </c>
      <c r="B23" s="15">
        <f t="shared" si="1"/>
        <v>46037</v>
      </c>
      <c r="C23" s="28"/>
      <c r="D23" s="24">
        <f t="shared" si="0"/>
        <v>46033</v>
      </c>
      <c r="E23" s="17"/>
      <c r="F23" s="158" t="s">
        <v>175</v>
      </c>
      <c r="G23" s="158"/>
      <c r="H23" s="158"/>
      <c r="I23" s="87"/>
      <c r="J23" s="87"/>
      <c r="K23" s="158" t="s">
        <v>176</v>
      </c>
      <c r="L23" s="158"/>
      <c r="M23" s="89"/>
      <c r="N23" s="17"/>
      <c r="O23" s="19">
        <f t="shared" si="3"/>
        <v>46034</v>
      </c>
      <c r="P23" s="17"/>
      <c r="Q23" s="184" t="s">
        <v>91</v>
      </c>
      <c r="R23" s="184"/>
      <c r="S23" s="184"/>
      <c r="T23" s="212"/>
      <c r="U23" s="17"/>
      <c r="V23" s="171" t="s">
        <v>68</v>
      </c>
      <c r="W23" s="171"/>
      <c r="X23" s="171"/>
      <c r="Y23" s="17"/>
      <c r="Z23" s="19">
        <f t="shared" si="4"/>
        <v>46035</v>
      </c>
      <c r="AA23" s="85" t="s">
        <v>162</v>
      </c>
      <c r="AB23" s="169" t="s">
        <v>107</v>
      </c>
      <c r="AC23" s="190"/>
      <c r="AD23" s="190"/>
      <c r="AE23" s="53"/>
      <c r="AF23" s="53"/>
      <c r="AG23" s="169" t="s">
        <v>108</v>
      </c>
      <c r="AH23" s="190"/>
      <c r="AI23" s="190"/>
      <c r="AJ23" s="85" t="s">
        <v>162</v>
      </c>
      <c r="AK23" s="19">
        <f t="shared" si="5"/>
        <v>46036</v>
      </c>
      <c r="AL23" s="85"/>
      <c r="AM23" s="207" t="s">
        <v>173</v>
      </c>
      <c r="AN23" s="207"/>
      <c r="AO23" s="207"/>
      <c r="AP23" s="207"/>
      <c r="AQ23" s="85"/>
      <c r="AR23" s="169" t="s">
        <v>197</v>
      </c>
      <c r="AS23" s="169"/>
      <c r="AT23" s="85" t="s">
        <v>26</v>
      </c>
      <c r="AU23" s="85"/>
      <c r="AV23" s="19">
        <f t="shared" si="6"/>
        <v>46037</v>
      </c>
      <c r="AW23" s="191" t="s">
        <v>147</v>
      </c>
      <c r="AX23" s="191"/>
      <c r="AY23" s="191"/>
      <c r="AZ23" s="191"/>
      <c r="BA23" s="191"/>
      <c r="BB23" s="191"/>
      <c r="BC23" s="191"/>
      <c r="BD23" s="191"/>
      <c r="BE23" s="220"/>
      <c r="BF23" s="22"/>
      <c r="BH23" s="6" t="s">
        <v>134</v>
      </c>
    </row>
    <row r="24" spans="1:66" ht="101.25" customHeight="1" x14ac:dyDescent="0.25">
      <c r="A24" s="15">
        <f t="shared" si="2"/>
        <v>46040</v>
      </c>
      <c r="B24" s="15">
        <f t="shared" si="1"/>
        <v>46044</v>
      </c>
      <c r="D24" s="24">
        <f t="shared" si="0"/>
        <v>46040</v>
      </c>
      <c r="E24" s="17"/>
      <c r="F24" s="191" t="s">
        <v>148</v>
      </c>
      <c r="G24" s="191"/>
      <c r="H24" s="191"/>
      <c r="I24" s="191"/>
      <c r="J24" s="191"/>
      <c r="K24" s="191"/>
      <c r="L24" s="191"/>
      <c r="M24" s="191"/>
      <c r="N24" s="191"/>
      <c r="O24" s="19">
        <f t="shared" si="3"/>
        <v>46041</v>
      </c>
      <c r="P24" s="17"/>
      <c r="Q24" s="191" t="s">
        <v>149</v>
      </c>
      <c r="R24" s="191"/>
      <c r="S24" s="191"/>
      <c r="T24" s="191"/>
      <c r="U24" s="191"/>
      <c r="V24" s="191"/>
      <c r="W24" s="191"/>
      <c r="X24" s="191"/>
      <c r="Y24" s="191"/>
      <c r="Z24" s="19">
        <f t="shared" si="4"/>
        <v>46042</v>
      </c>
      <c r="AA24" s="197" t="s">
        <v>88</v>
      </c>
      <c r="AB24" s="197"/>
      <c r="AC24" s="197"/>
      <c r="AD24" s="197"/>
      <c r="AE24" s="85"/>
      <c r="AF24" s="53"/>
      <c r="AG24" s="196" t="s">
        <v>158</v>
      </c>
      <c r="AH24" s="196"/>
      <c r="AI24" s="196"/>
      <c r="AJ24" s="196"/>
      <c r="AK24" s="19">
        <f t="shared" si="5"/>
        <v>46043</v>
      </c>
      <c r="AL24" s="86"/>
      <c r="AM24" s="197" t="s">
        <v>171</v>
      </c>
      <c r="AN24" s="197"/>
      <c r="AO24" s="197"/>
      <c r="AP24" s="197"/>
      <c r="AQ24" s="197"/>
      <c r="AR24" s="82" t="s">
        <v>183</v>
      </c>
      <c r="AS24" s="197" t="s">
        <v>170</v>
      </c>
      <c r="AT24" s="197"/>
      <c r="AU24" s="197"/>
      <c r="AV24" s="19">
        <f t="shared" si="6"/>
        <v>46044</v>
      </c>
      <c r="AW24" s="191" t="s">
        <v>150</v>
      </c>
      <c r="AX24" s="191"/>
      <c r="AY24" s="191"/>
      <c r="AZ24" s="191"/>
      <c r="BA24" s="191"/>
      <c r="BB24" s="191"/>
      <c r="BC24" s="191"/>
      <c r="BD24" s="191"/>
      <c r="BE24" s="220"/>
      <c r="BF24" s="22"/>
      <c r="BH24" t="s">
        <v>135</v>
      </c>
    </row>
    <row r="25" spans="1:66" ht="106.5" customHeight="1" thickBot="1" x14ac:dyDescent="0.3">
      <c r="A25" s="15">
        <f t="shared" si="2"/>
        <v>46047</v>
      </c>
      <c r="B25" s="15">
        <f t="shared" si="1"/>
        <v>46051</v>
      </c>
      <c r="D25" s="24">
        <f t="shared" si="0"/>
        <v>46047</v>
      </c>
      <c r="E25" s="192" t="s">
        <v>151</v>
      </c>
      <c r="F25" s="192"/>
      <c r="G25" s="192"/>
      <c r="H25" s="192"/>
      <c r="I25" s="192"/>
      <c r="J25" s="192"/>
      <c r="K25" s="192"/>
      <c r="L25" s="192"/>
      <c r="M25" s="192"/>
      <c r="N25" s="192"/>
      <c r="O25" s="19">
        <f t="shared" si="3"/>
        <v>46048</v>
      </c>
      <c r="P25" s="192" t="s">
        <v>152</v>
      </c>
      <c r="Q25" s="192"/>
      <c r="R25" s="192"/>
      <c r="S25" s="192"/>
      <c r="T25" s="192"/>
      <c r="U25" s="192"/>
      <c r="V25" s="192"/>
      <c r="W25" s="192"/>
      <c r="X25" s="192"/>
      <c r="Y25" s="192"/>
      <c r="Z25" s="19">
        <f t="shared" si="4"/>
        <v>46049</v>
      </c>
      <c r="AA25" s="213" t="s">
        <v>172</v>
      </c>
      <c r="AB25" s="213"/>
      <c r="AC25" s="213"/>
      <c r="AD25" s="213"/>
      <c r="AE25" s="213"/>
      <c r="AF25" s="213" t="s">
        <v>127</v>
      </c>
      <c r="AG25" s="213"/>
      <c r="AH25" s="213"/>
      <c r="AI25" s="213"/>
      <c r="AJ25" s="213"/>
      <c r="AK25" s="19">
        <f>AK24+7</f>
        <v>46050</v>
      </c>
      <c r="AL25" s="195" t="s">
        <v>139</v>
      </c>
      <c r="AM25" s="195"/>
      <c r="AN25" s="195"/>
      <c r="AO25" s="195" t="s">
        <v>14</v>
      </c>
      <c r="AP25" s="195"/>
      <c r="AQ25" s="195" t="s">
        <v>118</v>
      </c>
      <c r="AR25" s="195"/>
      <c r="AS25" s="195"/>
      <c r="AT25" s="195"/>
      <c r="AU25" s="195"/>
      <c r="AV25" s="19">
        <f t="shared" si="6"/>
        <v>46051</v>
      </c>
      <c r="AW25" s="191"/>
      <c r="AX25" s="191"/>
      <c r="AY25" s="191"/>
      <c r="AZ25" s="191"/>
      <c r="BA25" s="191"/>
      <c r="BB25" s="191"/>
      <c r="BC25" s="191"/>
      <c r="BD25" s="191"/>
      <c r="BE25" s="220"/>
      <c r="BF25" s="22"/>
      <c r="BH25" s="61" t="s">
        <v>136</v>
      </c>
    </row>
    <row r="26" spans="1:66" ht="78.75" customHeight="1" x14ac:dyDescent="0.25">
      <c r="A26" s="15">
        <f t="shared" si="2"/>
        <v>46054</v>
      </c>
      <c r="B26" s="15">
        <f t="shared" si="1"/>
        <v>46058</v>
      </c>
      <c r="C26" s="23"/>
      <c r="D26" s="24">
        <f>A26</f>
        <v>46054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9">
        <f t="shared" si="3"/>
        <v>46055</v>
      </c>
      <c r="Z26" s="19">
        <f t="shared" si="4"/>
        <v>46056</v>
      </c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19">
        <f t="shared" si="5"/>
        <v>46057</v>
      </c>
      <c r="AL26" s="205"/>
      <c r="AM26" s="205"/>
      <c r="AN26" s="205"/>
      <c r="AO26" s="205"/>
      <c r="AP26" s="205"/>
      <c r="AQ26" s="205"/>
      <c r="AR26" s="205"/>
      <c r="AS26" s="205"/>
      <c r="AT26" s="205"/>
      <c r="AU26" s="205"/>
      <c r="AV26" s="19">
        <f t="shared" si="6"/>
        <v>46058</v>
      </c>
      <c r="AW26" s="191"/>
      <c r="AX26" s="191"/>
      <c r="AY26" s="191"/>
      <c r="AZ26" s="191"/>
      <c r="BA26" s="191"/>
      <c r="BB26" s="191"/>
      <c r="BC26" s="191"/>
      <c r="BD26" s="191"/>
      <c r="BE26" s="220"/>
      <c r="BF26" s="21"/>
    </row>
    <row r="27" spans="1:66" ht="106.9" customHeight="1" thickBot="1" x14ac:dyDescent="0.3">
      <c r="A27" s="15">
        <f>B26+3</f>
        <v>46061</v>
      </c>
      <c r="B27" s="15">
        <f t="shared" si="1"/>
        <v>46065</v>
      </c>
      <c r="C27" s="26" t="s">
        <v>39</v>
      </c>
      <c r="D27" s="30">
        <f t="shared" si="0"/>
        <v>46061</v>
      </c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56">
        <f>O26+7</f>
        <v>46062</v>
      </c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56">
        <f>Z26+7</f>
        <v>46063</v>
      </c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56">
        <f>AK26+7</f>
        <v>46064</v>
      </c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56">
        <f>AV26+7</f>
        <v>46065</v>
      </c>
      <c r="AW27" s="200"/>
      <c r="AX27" s="200"/>
      <c r="AY27" s="200"/>
      <c r="AZ27" s="200"/>
      <c r="BA27" s="200"/>
      <c r="BB27" s="200"/>
      <c r="BC27" s="200"/>
      <c r="BD27" s="200"/>
      <c r="BE27" s="32"/>
      <c r="BF27" s="32"/>
    </row>
    <row r="28" spans="1:66" x14ac:dyDescent="0.25">
      <c r="A28" s="33"/>
      <c r="B28" s="33"/>
      <c r="C28" s="67"/>
      <c r="D28" s="34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34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34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34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34"/>
      <c r="AW28" s="67"/>
      <c r="BF28" s="23"/>
    </row>
    <row r="29" spans="1:66" x14ac:dyDescent="0.25">
      <c r="A29" s="67"/>
      <c r="B29" s="67"/>
      <c r="C29" s="67"/>
      <c r="D29" s="4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201" t="s">
        <v>87</v>
      </c>
      <c r="AG29" s="201"/>
      <c r="AH29" s="201"/>
      <c r="AI29" s="201"/>
      <c r="AJ29" s="201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</row>
    <row r="30" spans="1:66" x14ac:dyDescent="0.25">
      <c r="AL30" s="35"/>
      <c r="AM30" s="35"/>
      <c r="AN30" s="35"/>
      <c r="AO30" s="36" t="s">
        <v>12</v>
      </c>
    </row>
    <row r="31" spans="1:66" x14ac:dyDescent="0.25">
      <c r="U31" s="37"/>
      <c r="V31" s="37"/>
      <c r="W31" s="38"/>
      <c r="X31" s="39" t="s">
        <v>12</v>
      </c>
      <c r="Y31" s="17"/>
      <c r="AL31" s="40"/>
      <c r="AM31" s="40"/>
      <c r="AN31" s="40"/>
      <c r="AO31" s="41" t="s">
        <v>6</v>
      </c>
      <c r="BE31" s="17"/>
      <c r="BF31" s="17"/>
      <c r="BG31" s="17"/>
      <c r="BH31" s="17"/>
      <c r="BI31" s="17"/>
    </row>
    <row r="32" spans="1:66" ht="16.5" thickBot="1" x14ac:dyDescent="0.3">
      <c r="M32" s="42"/>
      <c r="N32" s="29"/>
      <c r="O32" s="6" t="s">
        <v>10</v>
      </c>
      <c r="Q32" s="6" t="s">
        <v>42</v>
      </c>
      <c r="U32" s="40"/>
      <c r="V32" s="40"/>
      <c r="W32" s="43"/>
      <c r="X32" s="39" t="s">
        <v>6</v>
      </c>
      <c r="Y32" s="17"/>
      <c r="AA32" s="202" t="s">
        <v>56</v>
      </c>
      <c r="AB32" s="202"/>
      <c r="AC32" s="202"/>
      <c r="AD32" s="202" t="s">
        <v>14</v>
      </c>
      <c r="AE32" s="202"/>
      <c r="AF32" s="202" t="s">
        <v>102</v>
      </c>
      <c r="AG32" s="202"/>
      <c r="AH32" s="202"/>
      <c r="AI32" s="202"/>
      <c r="AJ32" s="202"/>
      <c r="AL32" s="44"/>
      <c r="AM32" s="44"/>
      <c r="AN32" s="44"/>
      <c r="AO32" s="41" t="s">
        <v>7</v>
      </c>
    </row>
    <row r="33" spans="4:50" x14ac:dyDescent="0.25">
      <c r="M33" s="45"/>
      <c r="N33" s="45"/>
      <c r="O33" s="6" t="s">
        <v>15</v>
      </c>
      <c r="U33" s="44"/>
      <c r="V33" s="44"/>
      <c r="W33" s="44"/>
      <c r="X33" s="39" t="s">
        <v>7</v>
      </c>
      <c r="Y33" s="17"/>
      <c r="AL33" s="46"/>
      <c r="AM33" s="46"/>
      <c r="AN33" s="46"/>
      <c r="AO33" s="41" t="s">
        <v>8</v>
      </c>
    </row>
    <row r="34" spans="4:50" x14ac:dyDescent="0.25">
      <c r="U34" s="46"/>
      <c r="V34" s="46"/>
      <c r="W34" s="47"/>
      <c r="X34" s="39" t="s">
        <v>8</v>
      </c>
      <c r="Y34" s="17"/>
      <c r="AL34" s="48"/>
      <c r="AM34" s="48"/>
      <c r="AN34" s="48"/>
      <c r="AO34" s="41" t="s">
        <v>9</v>
      </c>
      <c r="AQ34" s="67"/>
      <c r="AR34" s="67"/>
      <c r="AS34" s="67"/>
      <c r="AT34" s="67"/>
      <c r="AU34" s="67"/>
      <c r="AV34" s="67"/>
      <c r="AW34" s="67"/>
      <c r="AX34" s="67"/>
    </row>
    <row r="35" spans="4:50" x14ac:dyDescent="0.25">
      <c r="D35" s="6"/>
      <c r="U35" s="48"/>
      <c r="V35" s="48"/>
      <c r="W35" s="49"/>
      <c r="X35" s="39" t="s">
        <v>9</v>
      </c>
      <c r="Y35" s="17"/>
      <c r="AF35" s="23"/>
      <c r="AG35" s="23"/>
      <c r="AH35" s="23"/>
      <c r="AQ35" s="67"/>
      <c r="AR35" s="67"/>
      <c r="AS35" s="67"/>
      <c r="AT35" s="203"/>
      <c r="AU35" s="203"/>
      <c r="AV35" s="203"/>
      <c r="AW35" s="67"/>
      <c r="AX35" s="67"/>
    </row>
    <row r="36" spans="4:50" x14ac:dyDescent="0.25">
      <c r="D36" s="6"/>
    </row>
    <row r="37" spans="4:50" ht="89.45" customHeight="1" thickBot="1" x14ac:dyDescent="0.3">
      <c r="D37" s="6"/>
      <c r="AA37" s="198" t="s">
        <v>78</v>
      </c>
      <c r="AB37" s="198"/>
      <c r="AC37" s="198"/>
      <c r="AD37" s="198"/>
      <c r="AE37" s="198"/>
      <c r="AF37" s="198"/>
      <c r="AG37" s="198"/>
      <c r="AH37" s="198"/>
      <c r="AI37" s="198"/>
      <c r="AJ37" s="198"/>
      <c r="AL37" s="199" t="s">
        <v>57</v>
      </c>
      <c r="AM37" s="199"/>
      <c r="AN37" s="199"/>
      <c r="AO37" s="199"/>
      <c r="AP37" s="199"/>
      <c r="AR37" s="199" t="s">
        <v>103</v>
      </c>
      <c r="AS37" s="199"/>
      <c r="AT37" s="199"/>
      <c r="AU37" s="199"/>
      <c r="AV37" s="199"/>
      <c r="AW37" s="67"/>
      <c r="AX37" s="67"/>
    </row>
    <row r="38" spans="4:50" ht="14.45" customHeight="1" x14ac:dyDescent="0.25">
      <c r="D38" s="6"/>
      <c r="AU38" s="67"/>
      <c r="AV38" s="67"/>
      <c r="AW38" s="67"/>
      <c r="AX38" s="67"/>
    </row>
    <row r="39" spans="4:50" ht="76.150000000000006" customHeight="1" x14ac:dyDescent="0.25">
      <c r="D39" s="6"/>
      <c r="AV39" s="67"/>
      <c r="AW39" s="67"/>
      <c r="AX39" s="67"/>
    </row>
    <row r="40" spans="4:50" ht="14.45" customHeight="1" x14ac:dyDescent="0.25">
      <c r="D40" s="6"/>
      <c r="AC40" s="6" t="s">
        <v>42</v>
      </c>
      <c r="AX40" s="67"/>
    </row>
    <row r="41" spans="4:50" x14ac:dyDescent="0.25">
      <c r="D41" s="6"/>
      <c r="AQ41" s="67"/>
      <c r="AV41" s="67"/>
      <c r="AW41" s="67"/>
      <c r="AX41" s="67"/>
    </row>
    <row r="42" spans="4:50" x14ac:dyDescent="0.25">
      <c r="D42" s="6"/>
      <c r="AQ42" s="67"/>
    </row>
    <row r="43" spans="4:50" x14ac:dyDescent="0.25">
      <c r="D43" s="6"/>
      <c r="AQ43" s="67"/>
      <c r="AR43" s="67"/>
      <c r="AS43" s="67"/>
      <c r="AX43" s="67"/>
    </row>
    <row r="44" spans="4:50" x14ac:dyDescent="0.25">
      <c r="AX44" s="67"/>
    </row>
    <row r="45" spans="4:50" x14ac:dyDescent="0.25">
      <c r="AX45" s="67"/>
    </row>
    <row r="46" spans="4:50" x14ac:dyDescent="0.25">
      <c r="T46" s="51"/>
    </row>
    <row r="48" spans="4:50" x14ac:dyDescent="0.25">
      <c r="AP48" s="50"/>
      <c r="AQ48" s="50"/>
      <c r="AR48" s="50"/>
      <c r="AS48" s="50"/>
    </row>
  </sheetData>
  <mergeCells count="220">
    <mergeCell ref="AG10:AI10"/>
    <mergeCell ref="AM11:AO11"/>
    <mergeCell ref="AQ11:AS11"/>
    <mergeCell ref="AA11:AD11"/>
    <mergeCell ref="F14:H14"/>
    <mergeCell ref="AQ12:AU12"/>
    <mergeCell ref="K19:M19"/>
    <mergeCell ref="F16:H16"/>
    <mergeCell ref="F17:H17"/>
    <mergeCell ref="F18:H18"/>
    <mergeCell ref="F19:H19"/>
    <mergeCell ref="E15:H15"/>
    <mergeCell ref="K14:M14"/>
    <mergeCell ref="K15:M15"/>
    <mergeCell ref="K16:M16"/>
    <mergeCell ref="K17:M17"/>
    <mergeCell ref="K18:M18"/>
    <mergeCell ref="K13:N13"/>
    <mergeCell ref="AX13:BA13"/>
    <mergeCell ref="V11:W11"/>
    <mergeCell ref="AX6:AZ6"/>
    <mergeCell ref="AX7:AZ7"/>
    <mergeCell ref="AX8:BA8"/>
    <mergeCell ref="K6:M6"/>
    <mergeCell ref="K9:M9"/>
    <mergeCell ref="AX9:BA9"/>
    <mergeCell ref="F13:H13"/>
    <mergeCell ref="K7:M7"/>
    <mergeCell ref="K11:N11"/>
    <mergeCell ref="P12:T12"/>
    <mergeCell ref="U12:Y12"/>
    <mergeCell ref="AA12:AE12"/>
    <mergeCell ref="AF12:AJ12"/>
    <mergeCell ref="F9:H9"/>
    <mergeCell ref="AM6:AO6"/>
    <mergeCell ref="AQ6:AS6"/>
    <mergeCell ref="AM7:AO7"/>
    <mergeCell ref="F10:H10"/>
    <mergeCell ref="E12:I12"/>
    <mergeCell ref="J12:N12"/>
    <mergeCell ref="K10:M10"/>
    <mergeCell ref="E11:H11"/>
    <mergeCell ref="AX22:BA22"/>
    <mergeCell ref="P18:S18"/>
    <mergeCell ref="V18:Y18"/>
    <mergeCell ref="AB19:AE19"/>
    <mergeCell ref="AL19:AU19"/>
    <mergeCell ref="AL20:AP20"/>
    <mergeCell ref="AQ20:AU20"/>
    <mergeCell ref="AQ14:AU14"/>
    <mergeCell ref="AX14:BA14"/>
    <mergeCell ref="AX15:BA15"/>
    <mergeCell ref="AX16:BA16"/>
    <mergeCell ref="AX17:BA17"/>
    <mergeCell ref="AX18:BA18"/>
    <mergeCell ref="AX19:BA19"/>
    <mergeCell ref="Q22:U22"/>
    <mergeCell ref="Q17:R17"/>
    <mergeCell ref="Q16:S16"/>
    <mergeCell ref="Q15:R15"/>
    <mergeCell ref="Q14:R14"/>
    <mergeCell ref="AB18:AE18"/>
    <mergeCell ref="AP15:AT15"/>
    <mergeCell ref="AM17:AN17"/>
    <mergeCell ref="AP17:AQ17"/>
    <mergeCell ref="AM14:AN14"/>
    <mergeCell ref="BH14:BJ14"/>
    <mergeCell ref="P21:T21"/>
    <mergeCell ref="U21:Y21"/>
    <mergeCell ref="P20:T20"/>
    <mergeCell ref="U20:Y20"/>
    <mergeCell ref="AI15:AJ15"/>
    <mergeCell ref="P19:S19"/>
    <mergeCell ref="AT35:AV35"/>
    <mergeCell ref="AA37:AJ37"/>
    <mergeCell ref="AL37:AP37"/>
    <mergeCell ref="AR37:AV37"/>
    <mergeCell ref="AA14:AJ14"/>
    <mergeCell ref="AM15:AN15"/>
    <mergeCell ref="AW27:BA27"/>
    <mergeCell ref="BB27:BD27"/>
    <mergeCell ref="AF29:AJ29"/>
    <mergeCell ref="AA32:AE32"/>
    <mergeCell ref="AF32:AJ32"/>
    <mergeCell ref="AW26:BE26"/>
    <mergeCell ref="AL21:AP21"/>
    <mergeCell ref="AQ21:AU21"/>
    <mergeCell ref="AW21:BE21"/>
    <mergeCell ref="AF20:AJ20"/>
    <mergeCell ref="AW20:BE20"/>
    <mergeCell ref="AW25:BE25"/>
    <mergeCell ref="AB23:AD23"/>
    <mergeCell ref="AG23:AI23"/>
    <mergeCell ref="AA25:AE25"/>
    <mergeCell ref="AF25:AJ25"/>
    <mergeCell ref="AL25:AP25"/>
    <mergeCell ref="AQ25:AU25"/>
    <mergeCell ref="AS24:AU24"/>
    <mergeCell ref="AW23:BE23"/>
    <mergeCell ref="AW24:BE24"/>
    <mergeCell ref="AR23:AS23"/>
    <mergeCell ref="AM24:AQ24"/>
    <mergeCell ref="AG24:AJ24"/>
    <mergeCell ref="AA24:AD24"/>
    <mergeCell ref="AA20:AE20"/>
    <mergeCell ref="AL26:AP26"/>
    <mergeCell ref="AQ26:AU26"/>
    <mergeCell ref="AA26:AE26"/>
    <mergeCell ref="AF26:AJ26"/>
    <mergeCell ref="E25:N25"/>
    <mergeCell ref="P25:Y25"/>
    <mergeCell ref="F24:N24"/>
    <mergeCell ref="Q24:Y24"/>
    <mergeCell ref="Q23:T23"/>
    <mergeCell ref="F22:H22"/>
    <mergeCell ref="K22:L22"/>
    <mergeCell ref="F23:H23"/>
    <mergeCell ref="K23:L23"/>
    <mergeCell ref="E21:I21"/>
    <mergeCell ref="J21:N21"/>
    <mergeCell ref="E20:I20"/>
    <mergeCell ref="J20:N20"/>
    <mergeCell ref="D1:M1"/>
    <mergeCell ref="O1:X1"/>
    <mergeCell ref="Z1:AI1"/>
    <mergeCell ref="AK1:AT1"/>
    <mergeCell ref="AV1:BE1"/>
    <mergeCell ref="Q4:R4"/>
    <mergeCell ref="AC4:AD4"/>
    <mergeCell ref="AG4:AI4"/>
    <mergeCell ref="AM4:AO4"/>
    <mergeCell ref="V4:X4"/>
    <mergeCell ref="AX4:AZ4"/>
    <mergeCell ref="E5:H5"/>
    <mergeCell ref="J5:N5"/>
    <mergeCell ref="P5:S5"/>
    <mergeCell ref="V5:X5"/>
    <mergeCell ref="AB5:AD5"/>
    <mergeCell ref="AR9:AT9"/>
    <mergeCell ref="F6:H6"/>
    <mergeCell ref="F7:H7"/>
    <mergeCell ref="F8:H8"/>
    <mergeCell ref="AQ7:AS7"/>
    <mergeCell ref="AA6:AD6"/>
    <mergeCell ref="AC8:AE8"/>
    <mergeCell ref="AB7:AD7"/>
    <mergeCell ref="Q6:S6"/>
    <mergeCell ref="K8:M8"/>
    <mergeCell ref="BH4:BK4"/>
    <mergeCell ref="AG9:AI9"/>
    <mergeCell ref="V6:X6"/>
    <mergeCell ref="V7:X7"/>
    <mergeCell ref="V8:X8"/>
    <mergeCell ref="Q13:S13"/>
    <mergeCell ref="Q7:S7"/>
    <mergeCell ref="Q8:S8"/>
    <mergeCell ref="AR4:AT4"/>
    <mergeCell ref="AB10:AD10"/>
    <mergeCell ref="AM10:AO10"/>
    <mergeCell ref="AQ10:AS10"/>
    <mergeCell ref="AW10:BE10"/>
    <mergeCell ref="BH5:BJ5"/>
    <mergeCell ref="AG8:AI8"/>
    <mergeCell ref="AM8:AO8"/>
    <mergeCell ref="AQ8:AT8"/>
    <mergeCell ref="AF7:AH7"/>
    <mergeCell ref="V9:X9"/>
    <mergeCell ref="V10:X10"/>
    <mergeCell ref="AW5:AX5"/>
    <mergeCell ref="Q9:S9"/>
    <mergeCell ref="Q10:S10"/>
    <mergeCell ref="Q11:S11"/>
    <mergeCell ref="BH8:BK8"/>
    <mergeCell ref="AG16:AI16"/>
    <mergeCell ref="AG18:AJ18"/>
    <mergeCell ref="BL5:BN5"/>
    <mergeCell ref="BH6:BJ6"/>
    <mergeCell ref="AL9:AO9"/>
    <mergeCell ref="AM5:AO5"/>
    <mergeCell ref="AQ5:AR5"/>
    <mergeCell ref="AS5:AU5"/>
    <mergeCell ref="AM13:AO13"/>
    <mergeCell ref="AQ13:AS13"/>
    <mergeCell ref="AY5:AZ5"/>
    <mergeCell ref="AW12:BE12"/>
    <mergeCell ref="BG18:BJ18"/>
    <mergeCell ref="BK18:BN18"/>
    <mergeCell ref="AM18:AO18"/>
    <mergeCell ref="AG5:AJ5"/>
    <mergeCell ref="AQ18:AT18"/>
    <mergeCell ref="AG6:AJ6"/>
    <mergeCell ref="AG15:AH15"/>
    <mergeCell ref="AQ16:AR16"/>
    <mergeCell ref="AS16:AT16"/>
    <mergeCell ref="AX11:BA11"/>
    <mergeCell ref="AL16:AO16"/>
    <mergeCell ref="BB6:BC6"/>
    <mergeCell ref="BC22:BE22"/>
    <mergeCell ref="V23:X23"/>
    <mergeCell ref="W22:Y22"/>
    <mergeCell ref="BC13:BE13"/>
    <mergeCell ref="BC14:BE14"/>
    <mergeCell ref="BC15:BE15"/>
    <mergeCell ref="BC16:BE16"/>
    <mergeCell ref="BC17:BE17"/>
    <mergeCell ref="BC18:BE18"/>
    <mergeCell ref="BC8:BE8"/>
    <mergeCell ref="BC9:BE9"/>
    <mergeCell ref="BC11:BE11"/>
    <mergeCell ref="AM23:AP23"/>
    <mergeCell ref="AA13:AC13"/>
    <mergeCell ref="AA15:AC15"/>
    <mergeCell ref="V16:X16"/>
    <mergeCell ref="AA16:AD16"/>
    <mergeCell ref="AG13:AI13"/>
    <mergeCell ref="AL12:AP12"/>
    <mergeCell ref="V19:Y19"/>
    <mergeCell ref="AA21:AE21"/>
    <mergeCell ref="AF21:AJ21"/>
    <mergeCell ref="AG19:AI19"/>
  </mergeCells>
  <hyperlinks>
    <hyperlink ref="BH25" r:id="rId1" display="https://sites.google.com/view/fm4b-lab/contact-us" xr:uid="{9E6468CF-D3F3-4979-9DA0-8590F1ADEBA8}"/>
  </hyperlinks>
  <pageMargins left="0.25" right="0.25" top="0.75" bottom="0.75" header="0.3" footer="0.3"/>
  <pageSetup paperSize="8" scale="59" fitToWidth="0" orientation="portrait" r:id="rId2"/>
  <rowBreaks count="1" manualBreakCount="1">
    <brk id="16" min="3" max="55" man="1"/>
  </rowBreaks>
  <colBreaks count="2" manualBreakCount="2">
    <brk id="25" max="35" man="1"/>
    <brk id="47" max="35" man="1"/>
  </colBreaks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BDFD-6E52-4D9F-AD5A-9B8A65D50970}">
  <sheetPr>
    <pageSetUpPr fitToPage="1"/>
  </sheetPr>
  <dimension ref="A1:BN48"/>
  <sheetViews>
    <sheetView zoomScale="55" zoomScaleNormal="55" workbookViewId="0">
      <pane ySplit="2" topLeftCell="A18" activePane="bottomLeft" state="frozen"/>
      <selection pane="bottomLeft" activeCell="J27" sqref="J27:N27"/>
    </sheetView>
  </sheetViews>
  <sheetFormatPr baseColWidth="10" defaultColWidth="11.5703125" defaultRowHeight="15" x14ac:dyDescent="0.25"/>
  <cols>
    <col min="1" max="1" width="9.140625" style="6" bestFit="1" customWidth="1"/>
    <col min="2" max="2" width="8.85546875" style="6" bestFit="1" customWidth="1"/>
    <col min="3" max="3" width="11.5703125" style="6" customWidth="1"/>
    <col min="4" max="4" width="16.7109375" style="5" customWidth="1"/>
    <col min="5" max="5" width="5.85546875" style="6" bestFit="1" customWidth="1"/>
    <col min="6" max="8" width="10.5703125" style="6" customWidth="1"/>
    <col min="9" max="10" width="8" style="6" bestFit="1" customWidth="1"/>
    <col min="11" max="14" width="10.5703125" style="6" customWidth="1"/>
    <col min="15" max="15" width="15.7109375" style="6" customWidth="1"/>
    <col min="16" max="16" width="5.85546875" style="6" bestFit="1" customWidth="1"/>
    <col min="17" max="19" width="10.5703125" style="6" customWidth="1"/>
    <col min="20" max="21" width="8" style="6" bestFit="1" customWidth="1"/>
    <col min="22" max="25" width="10.5703125" style="6" customWidth="1"/>
    <col min="26" max="26" width="11.7109375" style="6" customWidth="1"/>
    <col min="27" max="27" width="5.85546875" style="6" bestFit="1" customWidth="1"/>
    <col min="28" max="28" width="10.5703125" style="6" customWidth="1"/>
    <col min="29" max="29" width="11.140625" style="6" customWidth="1"/>
    <col min="30" max="30" width="10.5703125" style="6" customWidth="1"/>
    <col min="31" max="32" width="8" style="6" bestFit="1" customWidth="1"/>
    <col min="33" max="36" width="10.5703125" style="6" customWidth="1"/>
    <col min="37" max="37" width="12" style="6" customWidth="1"/>
    <col min="38" max="38" width="8.42578125" style="6" bestFit="1" customWidth="1"/>
    <col min="39" max="41" width="10.5703125" style="6" customWidth="1"/>
    <col min="42" max="42" width="10.28515625" style="6" bestFit="1" customWidth="1"/>
    <col min="43" max="47" width="10.5703125" style="6" customWidth="1"/>
    <col min="48" max="48" width="11.42578125" style="6" customWidth="1"/>
    <col min="49" max="49" width="5.85546875" style="6" bestFit="1" customWidth="1"/>
    <col min="50" max="52" width="10.5703125" style="6" customWidth="1"/>
    <col min="53" max="53" width="9" style="6" customWidth="1"/>
    <col min="54" max="54" width="8" style="6" customWidth="1"/>
    <col min="55" max="56" width="10.5703125" style="6" customWidth="1"/>
    <col min="57" max="57" width="14.28515625" style="6" customWidth="1"/>
    <col min="58" max="58" width="11.5703125" style="6" customWidth="1"/>
    <col min="59" max="16384" width="11.5703125" style="6"/>
  </cols>
  <sheetData>
    <row r="1" spans="1:58" ht="15.75" thickBot="1" x14ac:dyDescent="0.3">
      <c r="D1" s="153" t="s">
        <v>0</v>
      </c>
      <c r="E1" s="153"/>
      <c r="F1" s="153"/>
      <c r="G1" s="153"/>
      <c r="H1" s="153"/>
      <c r="I1" s="153"/>
      <c r="J1" s="153"/>
      <c r="K1" s="153"/>
      <c r="L1" s="153"/>
      <c r="M1" s="153"/>
      <c r="N1" s="62"/>
      <c r="O1" s="154" t="s">
        <v>1</v>
      </c>
      <c r="P1" s="154"/>
      <c r="Q1" s="154"/>
      <c r="R1" s="154"/>
      <c r="S1" s="154"/>
      <c r="T1" s="154"/>
      <c r="U1" s="154"/>
      <c r="V1" s="154"/>
      <c r="W1" s="154"/>
      <c r="X1" s="154"/>
      <c r="Y1" s="63"/>
      <c r="Z1" s="155" t="s">
        <v>2</v>
      </c>
      <c r="AA1" s="155"/>
      <c r="AB1" s="155"/>
      <c r="AC1" s="155"/>
      <c r="AD1" s="155"/>
      <c r="AE1" s="155"/>
      <c r="AF1" s="155"/>
      <c r="AG1" s="155"/>
      <c r="AH1" s="155"/>
      <c r="AI1" s="155"/>
      <c r="AJ1" s="64"/>
      <c r="AK1" s="156" t="s">
        <v>3</v>
      </c>
      <c r="AL1" s="156"/>
      <c r="AM1" s="156"/>
      <c r="AN1" s="156"/>
      <c r="AO1" s="156"/>
      <c r="AP1" s="156"/>
      <c r="AQ1" s="156"/>
      <c r="AR1" s="156"/>
      <c r="AS1" s="156"/>
      <c r="AT1" s="156"/>
      <c r="AU1" s="65"/>
      <c r="AV1" s="157" t="s">
        <v>4</v>
      </c>
      <c r="AW1" s="157"/>
      <c r="AX1" s="157"/>
      <c r="AY1" s="157"/>
      <c r="AZ1" s="157"/>
      <c r="BA1" s="157"/>
      <c r="BB1" s="157"/>
      <c r="BC1" s="157"/>
      <c r="BD1" s="157"/>
      <c r="BE1" s="157"/>
    </row>
    <row r="2" spans="1:58" ht="36.75" thickBot="1" x14ac:dyDescent="0.3">
      <c r="C2" s="7" t="s">
        <v>45</v>
      </c>
      <c r="D2" s="1" t="s">
        <v>5</v>
      </c>
      <c r="E2" s="8" t="s">
        <v>16</v>
      </c>
      <c r="F2" s="9" t="s">
        <v>17</v>
      </c>
      <c r="G2" s="9" t="s">
        <v>18</v>
      </c>
      <c r="H2" s="9" t="s">
        <v>19</v>
      </c>
      <c r="I2" s="9" t="s">
        <v>24</v>
      </c>
      <c r="J2" s="9" t="s">
        <v>20</v>
      </c>
      <c r="K2" s="9" t="s">
        <v>21</v>
      </c>
      <c r="L2" s="10" t="s">
        <v>22</v>
      </c>
      <c r="M2" s="11" t="s">
        <v>23</v>
      </c>
      <c r="N2" s="12" t="s">
        <v>25</v>
      </c>
      <c r="O2" s="2" t="s">
        <v>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24</v>
      </c>
      <c r="U2" s="9" t="s">
        <v>20</v>
      </c>
      <c r="V2" s="9" t="s">
        <v>21</v>
      </c>
      <c r="W2" s="10" t="s">
        <v>22</v>
      </c>
      <c r="X2" s="11" t="s">
        <v>23</v>
      </c>
      <c r="Y2" s="12" t="s">
        <v>25</v>
      </c>
      <c r="Z2" s="3" t="s">
        <v>5</v>
      </c>
      <c r="AA2" s="9" t="s">
        <v>16</v>
      </c>
      <c r="AB2" s="9" t="s">
        <v>17</v>
      </c>
      <c r="AC2" s="9" t="s">
        <v>18</v>
      </c>
      <c r="AD2" s="9" t="s">
        <v>19</v>
      </c>
      <c r="AE2" s="9" t="s">
        <v>24</v>
      </c>
      <c r="AF2" s="9" t="s">
        <v>20</v>
      </c>
      <c r="AG2" s="9" t="s">
        <v>21</v>
      </c>
      <c r="AH2" s="10" t="s">
        <v>22</v>
      </c>
      <c r="AI2" s="11" t="s">
        <v>23</v>
      </c>
      <c r="AJ2" s="12" t="s">
        <v>25</v>
      </c>
      <c r="AK2" s="3" t="s">
        <v>5</v>
      </c>
      <c r="AL2" s="9" t="s">
        <v>16</v>
      </c>
      <c r="AM2" s="9" t="s">
        <v>17</v>
      </c>
      <c r="AN2" s="9" t="s">
        <v>18</v>
      </c>
      <c r="AO2" s="9" t="s">
        <v>19</v>
      </c>
      <c r="AP2" s="9" t="s">
        <v>24</v>
      </c>
      <c r="AQ2" s="9" t="s">
        <v>20</v>
      </c>
      <c r="AR2" s="9" t="s">
        <v>21</v>
      </c>
      <c r="AS2" s="10" t="s">
        <v>22</v>
      </c>
      <c r="AT2" s="11" t="s">
        <v>23</v>
      </c>
      <c r="AU2" s="12" t="s">
        <v>25</v>
      </c>
      <c r="AV2" s="3" t="s">
        <v>5</v>
      </c>
      <c r="AW2" s="9" t="s">
        <v>16</v>
      </c>
      <c r="AX2" s="9" t="s">
        <v>17</v>
      </c>
      <c r="AY2" s="9" t="s">
        <v>18</v>
      </c>
      <c r="AZ2" s="9" t="s">
        <v>19</v>
      </c>
      <c r="BA2" s="9" t="s">
        <v>24</v>
      </c>
      <c r="BB2" s="9" t="s">
        <v>20</v>
      </c>
      <c r="BC2" s="9" t="s">
        <v>21</v>
      </c>
      <c r="BD2" s="10" t="s">
        <v>22</v>
      </c>
      <c r="BE2" s="13" t="s">
        <v>23</v>
      </c>
      <c r="BF2" s="14" t="s">
        <v>40</v>
      </c>
    </row>
    <row r="3" spans="1:58" x14ac:dyDescent="0.25">
      <c r="A3" s="15">
        <v>45893</v>
      </c>
      <c r="B3" s="15">
        <f>A3+4</f>
        <v>45897</v>
      </c>
      <c r="D3" s="16">
        <f t="shared" ref="D3:D27" si="0">A3</f>
        <v>45893</v>
      </c>
      <c r="E3" s="17"/>
      <c r="F3" s="17"/>
      <c r="G3" s="17"/>
      <c r="H3" s="17"/>
      <c r="I3" s="17"/>
      <c r="J3" s="17"/>
      <c r="K3" s="17"/>
      <c r="L3" s="17"/>
      <c r="M3" s="17"/>
      <c r="N3" s="18"/>
      <c r="O3" s="19">
        <f>A3+1</f>
        <v>45894</v>
      </c>
      <c r="P3" s="17"/>
      <c r="Q3" s="17"/>
      <c r="R3" s="17"/>
      <c r="S3" s="17"/>
      <c r="T3" s="17"/>
      <c r="U3" s="17"/>
      <c r="V3" s="17"/>
      <c r="W3" s="17"/>
      <c r="X3" s="17"/>
      <c r="Y3" s="17"/>
      <c r="Z3" s="19">
        <f>A3+2</f>
        <v>45895</v>
      </c>
      <c r="AA3" s="17"/>
      <c r="AB3" s="17"/>
      <c r="AC3" s="17"/>
      <c r="AD3" s="17"/>
      <c r="AE3" s="67"/>
      <c r="AF3" s="17"/>
      <c r="AG3" s="17"/>
      <c r="AH3" s="17"/>
      <c r="AI3" s="17"/>
      <c r="AJ3" s="17"/>
      <c r="AK3" s="19">
        <f>A3+3</f>
        <v>45896</v>
      </c>
      <c r="AL3" s="17"/>
      <c r="AM3" s="17"/>
      <c r="AN3" s="17"/>
      <c r="AO3" s="17"/>
      <c r="AP3" s="17"/>
      <c r="AQ3" s="17"/>
      <c r="AR3" s="20"/>
      <c r="AS3" s="20"/>
      <c r="AT3" s="20"/>
      <c r="AU3" s="17"/>
      <c r="AV3" s="19">
        <f>A3+4</f>
        <v>45897</v>
      </c>
      <c r="AW3" s="17"/>
      <c r="AX3" s="17"/>
      <c r="AY3" s="17"/>
      <c r="AZ3" s="17"/>
      <c r="BA3" s="17"/>
      <c r="BB3" s="67"/>
      <c r="BC3" s="67"/>
      <c r="BD3" s="67"/>
      <c r="BE3" s="21"/>
      <c r="BF3" s="22"/>
    </row>
    <row r="4" spans="1:58" ht="85.5" customHeight="1" x14ac:dyDescent="0.25">
      <c r="A4" s="15">
        <f>B3+3</f>
        <v>45900</v>
      </c>
      <c r="B4" s="15">
        <f t="shared" ref="B4:B27" si="1">A4+4</f>
        <v>45904</v>
      </c>
      <c r="C4" s="23"/>
      <c r="D4" s="24">
        <f t="shared" si="0"/>
        <v>45900</v>
      </c>
      <c r="E4" s="17"/>
      <c r="F4" s="17"/>
      <c r="I4" s="67"/>
      <c r="J4" s="67"/>
      <c r="M4" s="71"/>
      <c r="N4" s="67"/>
      <c r="O4" s="19">
        <f>O3+7</f>
        <v>45901</v>
      </c>
      <c r="P4" s="67"/>
      <c r="Q4" s="159" t="s">
        <v>11</v>
      </c>
      <c r="R4" s="159"/>
      <c r="T4" s="67"/>
      <c r="U4" s="67"/>
      <c r="V4" s="158" t="s">
        <v>27</v>
      </c>
      <c r="W4" s="158"/>
      <c r="X4" s="158"/>
      <c r="Y4" s="67"/>
      <c r="Z4" s="19">
        <f>Z3+7</f>
        <v>45902</v>
      </c>
      <c r="AA4" s="17"/>
      <c r="AB4" s="17"/>
      <c r="AC4" s="159" t="s">
        <v>79</v>
      </c>
      <c r="AD4" s="159"/>
      <c r="AE4" s="17"/>
      <c r="AG4" s="161" t="s">
        <v>84</v>
      </c>
      <c r="AH4" s="161"/>
      <c r="AI4" s="161"/>
      <c r="AJ4" s="17"/>
      <c r="AK4" s="19">
        <f>AK3+7</f>
        <v>45903</v>
      </c>
      <c r="AL4" s="17"/>
      <c r="AM4" s="161" t="s">
        <v>32</v>
      </c>
      <c r="AN4" s="162"/>
      <c r="AO4" s="162"/>
      <c r="AQ4" s="160" t="s">
        <v>31</v>
      </c>
      <c r="AR4" s="187"/>
      <c r="AS4" s="187"/>
      <c r="AT4" s="187"/>
      <c r="AU4" s="17"/>
      <c r="AV4" s="19">
        <f>AV3+7</f>
        <v>45904</v>
      </c>
      <c r="AW4" s="17"/>
      <c r="AX4" s="158" t="s">
        <v>28</v>
      </c>
      <c r="AY4" s="158"/>
      <c r="AZ4" s="158"/>
      <c r="BC4" s="17"/>
      <c r="BD4" s="17"/>
      <c r="BE4" s="67"/>
      <c r="BF4" s="52"/>
    </row>
    <row r="5" spans="1:58" ht="70.900000000000006" customHeight="1" x14ac:dyDescent="0.25">
      <c r="A5" s="15">
        <f t="shared" ref="A5:A27" si="2">B4+3</f>
        <v>45907</v>
      </c>
      <c r="B5" s="15">
        <f t="shared" si="1"/>
        <v>45911</v>
      </c>
      <c r="D5" s="24">
        <f t="shared" si="0"/>
        <v>45907</v>
      </c>
      <c r="E5" s="166" t="s">
        <v>43</v>
      </c>
      <c r="F5" s="166"/>
      <c r="G5" s="166"/>
      <c r="H5" s="166"/>
      <c r="I5" s="25"/>
      <c r="J5" s="166" t="s">
        <v>43</v>
      </c>
      <c r="K5" s="166"/>
      <c r="L5" s="166"/>
      <c r="M5" s="166"/>
      <c r="N5" s="166"/>
      <c r="O5" s="19">
        <f t="shared" ref="O5:O27" si="3">O4+7</f>
        <v>45908</v>
      </c>
      <c r="T5" s="25"/>
      <c r="U5" s="167" t="s">
        <v>142</v>
      </c>
      <c r="V5" s="167"/>
      <c r="W5" s="167"/>
      <c r="X5" s="167"/>
      <c r="Z5" s="19">
        <f t="shared" ref="Z5:Z27" si="4">Z4+7</f>
        <v>45909</v>
      </c>
      <c r="AA5" s="17"/>
      <c r="AB5" s="206" t="s">
        <v>143</v>
      </c>
      <c r="AC5" s="206"/>
      <c r="AD5" s="206"/>
      <c r="AE5" s="17"/>
      <c r="AF5" s="17"/>
      <c r="AG5" s="206" t="s">
        <v>143</v>
      </c>
      <c r="AH5" s="206"/>
      <c r="AI5" s="206"/>
      <c r="AJ5" s="17"/>
      <c r="AK5" s="19">
        <f t="shared" ref="AK5:AK27" si="5">AK4+7</f>
        <v>45910</v>
      </c>
      <c r="AL5" s="224" t="s">
        <v>61</v>
      </c>
      <c r="AM5" s="225"/>
      <c r="AN5" s="225"/>
      <c r="AO5" s="225"/>
      <c r="AP5" s="17"/>
      <c r="AQ5" s="17"/>
      <c r="AR5" s="164" t="s">
        <v>46</v>
      </c>
      <c r="AS5" s="165"/>
      <c r="AT5" s="165"/>
      <c r="AU5" s="165"/>
      <c r="AV5" s="19">
        <f t="shared" ref="AV5:AV27" si="6">AV4+7</f>
        <v>45911</v>
      </c>
      <c r="AW5" s="17"/>
      <c r="AX5" s="173" t="s">
        <v>36</v>
      </c>
      <c r="AY5" s="173"/>
      <c r="AZ5" s="173"/>
      <c r="BA5" s="17"/>
      <c r="BB5" s="17"/>
      <c r="BC5" s="158" t="s">
        <v>80</v>
      </c>
      <c r="BD5" s="158"/>
      <c r="BE5" s="158"/>
      <c r="BF5" s="52"/>
    </row>
    <row r="6" spans="1:58" ht="79.900000000000006" customHeight="1" x14ac:dyDescent="0.25">
      <c r="A6" s="15">
        <f t="shared" si="2"/>
        <v>45914</v>
      </c>
      <c r="B6" s="15">
        <f t="shared" si="1"/>
        <v>45918</v>
      </c>
      <c r="D6" s="24">
        <f t="shared" si="0"/>
        <v>45914</v>
      </c>
      <c r="E6" s="17"/>
      <c r="F6" s="173" t="s">
        <v>36</v>
      </c>
      <c r="G6" s="173"/>
      <c r="H6" s="173"/>
      <c r="I6" s="17"/>
      <c r="J6" s="17"/>
      <c r="K6" s="158" t="s">
        <v>81</v>
      </c>
      <c r="L6" s="158"/>
      <c r="M6" s="17"/>
      <c r="N6" s="17"/>
      <c r="O6" s="19">
        <f t="shared" si="3"/>
        <v>45915</v>
      </c>
      <c r="P6" s="67"/>
      <c r="Q6" s="226" t="s">
        <v>28</v>
      </c>
      <c r="R6" s="226"/>
      <c r="S6" s="226"/>
      <c r="T6" s="17"/>
      <c r="U6" s="17"/>
      <c r="V6" s="158" t="s">
        <v>27</v>
      </c>
      <c r="W6" s="158"/>
      <c r="X6" s="158"/>
      <c r="Y6" s="67"/>
      <c r="Z6" s="19">
        <f t="shared" si="4"/>
        <v>45916</v>
      </c>
      <c r="AA6" s="161" t="s">
        <v>63</v>
      </c>
      <c r="AB6" s="161"/>
      <c r="AC6" s="161"/>
      <c r="AD6" s="161"/>
      <c r="AF6" s="17"/>
      <c r="AG6" s="160" t="s">
        <v>31</v>
      </c>
      <c r="AH6" s="160"/>
      <c r="AJ6" s="71"/>
      <c r="AK6" s="19">
        <f t="shared" si="5"/>
        <v>45917</v>
      </c>
      <c r="AM6" s="169" t="s">
        <v>30</v>
      </c>
      <c r="AN6" s="169"/>
      <c r="AO6" s="169"/>
      <c r="AP6" s="17"/>
      <c r="AQ6" s="169" t="s">
        <v>30</v>
      </c>
      <c r="AR6" s="169"/>
      <c r="AS6" s="169"/>
      <c r="AT6" s="17"/>
      <c r="AU6" s="17"/>
      <c r="AV6" s="19">
        <f t="shared" si="6"/>
        <v>45918</v>
      </c>
      <c r="AW6" s="17"/>
      <c r="BA6" s="17"/>
      <c r="BB6" s="17"/>
      <c r="BC6" s="17"/>
      <c r="BD6" s="17"/>
      <c r="BE6" s="17"/>
      <c r="BF6" s="52"/>
    </row>
    <row r="7" spans="1:58" ht="60" customHeight="1" x14ac:dyDescent="0.25">
      <c r="A7" s="15">
        <f t="shared" si="2"/>
        <v>45921</v>
      </c>
      <c r="B7" s="15">
        <f t="shared" si="1"/>
        <v>45925</v>
      </c>
      <c r="C7" s="26" t="s">
        <v>39</v>
      </c>
      <c r="D7" s="24">
        <f t="shared" si="0"/>
        <v>45921</v>
      </c>
      <c r="E7" s="17"/>
      <c r="I7" s="67"/>
      <c r="J7" s="67"/>
      <c r="K7" s="226" t="s">
        <v>60</v>
      </c>
      <c r="L7" s="226"/>
      <c r="M7" s="226"/>
      <c r="N7" s="226"/>
      <c r="O7" s="19">
        <f t="shared" si="3"/>
        <v>45922</v>
      </c>
      <c r="P7" s="67"/>
      <c r="Q7" s="67"/>
      <c r="R7" s="67"/>
      <c r="S7" s="67"/>
      <c r="T7" s="67"/>
      <c r="U7" s="67"/>
      <c r="V7" s="226" t="s">
        <v>60</v>
      </c>
      <c r="W7" s="226"/>
      <c r="X7" s="226"/>
      <c r="Y7" s="67"/>
      <c r="Z7" s="19">
        <f t="shared" si="4"/>
        <v>45923</v>
      </c>
      <c r="AA7" s="26"/>
      <c r="AB7" s="171" t="s">
        <v>65</v>
      </c>
      <c r="AC7" s="171"/>
      <c r="AD7" s="171"/>
      <c r="AE7" s="26"/>
      <c r="AF7" s="171" t="s">
        <v>65</v>
      </c>
      <c r="AG7" s="171"/>
      <c r="AH7" s="171"/>
      <c r="AI7" s="26"/>
      <c r="AJ7" s="26"/>
      <c r="AK7" s="19">
        <f t="shared" si="5"/>
        <v>45924</v>
      </c>
      <c r="AL7" s="26"/>
      <c r="AM7" s="26"/>
      <c r="AN7" s="158" t="s">
        <v>27</v>
      </c>
      <c r="AO7" s="158"/>
      <c r="AP7" s="26"/>
      <c r="AQ7" s="158" t="s">
        <v>28</v>
      </c>
      <c r="AR7" s="158"/>
      <c r="AS7" s="171" t="s">
        <v>68</v>
      </c>
      <c r="AT7" s="171"/>
      <c r="AU7" s="26"/>
      <c r="AV7" s="19">
        <f t="shared" si="6"/>
        <v>45925</v>
      </c>
      <c r="AW7" s="17"/>
      <c r="BA7" s="17"/>
      <c r="BB7" s="17"/>
      <c r="BC7" s="17"/>
      <c r="BD7" s="17"/>
      <c r="BE7" s="22"/>
      <c r="BF7" s="27" t="s">
        <v>39</v>
      </c>
    </row>
    <row r="8" spans="1:58" ht="90.6" customHeight="1" x14ac:dyDescent="0.25">
      <c r="A8" s="15">
        <f t="shared" si="2"/>
        <v>45928</v>
      </c>
      <c r="B8" s="15">
        <f t="shared" si="1"/>
        <v>45932</v>
      </c>
      <c r="D8" s="24">
        <f t="shared" si="0"/>
        <v>45928</v>
      </c>
      <c r="E8" s="17"/>
      <c r="F8" s="158" t="s">
        <v>28</v>
      </c>
      <c r="G8" s="158"/>
      <c r="H8" s="158"/>
      <c r="I8" s="67"/>
      <c r="J8" s="67"/>
      <c r="N8" s="67"/>
      <c r="O8" s="19">
        <f t="shared" si="3"/>
        <v>45929</v>
      </c>
      <c r="P8" s="17"/>
      <c r="Q8" s="158" t="s">
        <v>28</v>
      </c>
      <c r="R8" s="158"/>
      <c r="S8" s="158"/>
      <c r="T8" s="67"/>
      <c r="U8" s="17"/>
      <c r="V8" s="158" t="s">
        <v>60</v>
      </c>
      <c r="W8" s="158"/>
      <c r="X8" s="158"/>
      <c r="Y8" s="67"/>
      <c r="Z8" s="19">
        <f t="shared" si="4"/>
        <v>45930</v>
      </c>
      <c r="AA8" s="160" t="s">
        <v>31</v>
      </c>
      <c r="AB8" s="187"/>
      <c r="AC8" s="187"/>
      <c r="AD8" s="187"/>
      <c r="AE8" s="17"/>
      <c r="AF8" s="17"/>
      <c r="AG8" s="227" t="s">
        <v>50</v>
      </c>
      <c r="AH8" s="227"/>
      <c r="AI8" s="227"/>
      <c r="AJ8" s="17"/>
      <c r="AK8" s="19">
        <f t="shared" si="5"/>
        <v>45931</v>
      </c>
      <c r="AM8" s="169" t="s">
        <v>30</v>
      </c>
      <c r="AN8" s="169"/>
      <c r="AO8" s="169"/>
      <c r="AP8" s="17" t="s">
        <v>59</v>
      </c>
      <c r="AQ8" s="169" t="s">
        <v>30</v>
      </c>
      <c r="AR8" s="169"/>
      <c r="AS8" s="169"/>
      <c r="AT8" s="169"/>
      <c r="AU8" s="17" t="s">
        <v>59</v>
      </c>
      <c r="AV8" s="19">
        <f t="shared" si="6"/>
        <v>45932</v>
      </c>
      <c r="AW8" s="17"/>
      <c r="AX8" s="17"/>
      <c r="AY8" s="158" t="s">
        <v>82</v>
      </c>
      <c r="AZ8" s="158"/>
      <c r="BA8" s="17"/>
      <c r="BB8" s="158" t="s">
        <v>60</v>
      </c>
      <c r="BC8" s="158"/>
      <c r="BD8" s="158"/>
      <c r="BE8" s="158"/>
      <c r="BF8" s="52"/>
    </row>
    <row r="9" spans="1:58" ht="77.45" customHeight="1" x14ac:dyDescent="0.25">
      <c r="A9" s="15">
        <f t="shared" si="2"/>
        <v>45935</v>
      </c>
      <c r="B9" s="15">
        <f t="shared" si="1"/>
        <v>45939</v>
      </c>
      <c r="D9" s="24">
        <f t="shared" si="0"/>
        <v>45935</v>
      </c>
      <c r="E9" s="17"/>
      <c r="F9" s="158" t="s">
        <v>27</v>
      </c>
      <c r="G9" s="158"/>
      <c r="H9" s="158"/>
      <c r="I9" s="67"/>
      <c r="J9" s="67"/>
      <c r="K9" s="158" t="s">
        <v>81</v>
      </c>
      <c r="L9" s="158"/>
      <c r="O9" s="19">
        <f t="shared" si="3"/>
        <v>45936</v>
      </c>
      <c r="P9" s="17"/>
      <c r="Q9" s="158" t="s">
        <v>28</v>
      </c>
      <c r="R9" s="158"/>
      <c r="S9" s="158"/>
      <c r="T9" s="67"/>
      <c r="U9" s="17"/>
      <c r="V9" s="158" t="s">
        <v>36</v>
      </c>
      <c r="W9" s="158"/>
      <c r="X9" s="17"/>
      <c r="Y9" s="67"/>
      <c r="Z9" s="19">
        <f t="shared" si="4"/>
        <v>45937</v>
      </c>
      <c r="AA9" s="17"/>
      <c r="AB9" s="169" t="s">
        <v>47</v>
      </c>
      <c r="AC9" s="169"/>
      <c r="AD9" s="169"/>
      <c r="AE9" s="17"/>
      <c r="AF9" s="17"/>
      <c r="AG9" s="169" t="s">
        <v>48</v>
      </c>
      <c r="AH9" s="169"/>
      <c r="AI9" s="169"/>
      <c r="AJ9" s="17"/>
      <c r="AK9" s="19">
        <f t="shared" si="5"/>
        <v>45938</v>
      </c>
      <c r="AL9" s="17"/>
      <c r="AM9" s="169" t="s">
        <v>47</v>
      </c>
      <c r="AN9" s="169"/>
      <c r="AO9" s="169"/>
      <c r="AP9" s="6" t="s">
        <v>26</v>
      </c>
      <c r="AQ9" s="169" t="s">
        <v>48</v>
      </c>
      <c r="AR9" s="169"/>
      <c r="AS9" s="169"/>
      <c r="AT9" s="6" t="s">
        <v>26</v>
      </c>
      <c r="AV9" s="19">
        <f t="shared" si="6"/>
        <v>45939</v>
      </c>
      <c r="AW9" s="17"/>
      <c r="AX9" s="158" t="s">
        <v>105</v>
      </c>
      <c r="AY9" s="158"/>
      <c r="AZ9" s="158"/>
      <c r="BA9" s="17"/>
      <c r="BB9" s="17"/>
      <c r="BC9" s="17"/>
      <c r="BD9" s="17"/>
      <c r="BE9" s="22"/>
      <c r="BF9" s="52"/>
    </row>
    <row r="10" spans="1:58" ht="73.900000000000006" customHeight="1" x14ac:dyDescent="0.25">
      <c r="A10" s="15">
        <f t="shared" si="2"/>
        <v>45942</v>
      </c>
      <c r="B10" s="15">
        <f t="shared" si="1"/>
        <v>45946</v>
      </c>
      <c r="D10" s="24">
        <f t="shared" si="0"/>
        <v>45942</v>
      </c>
      <c r="E10" s="17"/>
      <c r="F10" s="171" t="s">
        <v>93</v>
      </c>
      <c r="G10" s="171"/>
      <c r="H10" s="171"/>
      <c r="I10" s="67"/>
      <c r="J10" s="67"/>
      <c r="K10" s="158" t="s">
        <v>27</v>
      </c>
      <c r="L10" s="158"/>
      <c r="M10" s="158"/>
      <c r="O10" s="19">
        <f t="shared" si="3"/>
        <v>45943</v>
      </c>
      <c r="P10" s="17"/>
      <c r="Q10" s="158" t="s">
        <v>28</v>
      </c>
      <c r="R10" s="158"/>
      <c r="S10" s="158"/>
      <c r="T10" s="67"/>
      <c r="U10" s="17"/>
      <c r="V10" s="158" t="s">
        <v>83</v>
      </c>
      <c r="W10" s="158"/>
      <c r="X10" s="158"/>
      <c r="Y10" s="17"/>
      <c r="Z10" s="19">
        <f t="shared" si="4"/>
        <v>45944</v>
      </c>
      <c r="AB10" s="158" t="s">
        <v>100</v>
      </c>
      <c r="AC10" s="158"/>
      <c r="AD10" s="158"/>
      <c r="AE10" s="17"/>
      <c r="AF10" s="67"/>
      <c r="AG10" s="160" t="s">
        <v>75</v>
      </c>
      <c r="AH10" s="160"/>
      <c r="AI10" s="160"/>
      <c r="AJ10" s="160"/>
      <c r="AK10" s="19">
        <f t="shared" si="5"/>
        <v>45945</v>
      </c>
      <c r="AL10" s="17"/>
      <c r="AM10" s="161" t="s">
        <v>51</v>
      </c>
      <c r="AN10" s="162"/>
      <c r="AO10" s="162"/>
      <c r="AP10" s="67" t="s">
        <v>26</v>
      </c>
      <c r="AQ10" s="161" t="s">
        <v>51</v>
      </c>
      <c r="AR10" s="162"/>
      <c r="AS10" s="162"/>
      <c r="AT10" s="6" t="s">
        <v>26</v>
      </c>
      <c r="AV10" s="19">
        <f t="shared" si="6"/>
        <v>45946</v>
      </c>
      <c r="AW10" s="228" t="s">
        <v>89</v>
      </c>
      <c r="AX10" s="228"/>
      <c r="AY10" s="228"/>
      <c r="AZ10" s="228"/>
      <c r="BA10" s="228"/>
      <c r="BB10" s="228"/>
      <c r="BC10" s="228"/>
      <c r="BD10" s="228"/>
      <c r="BE10" s="228"/>
      <c r="BF10" s="52"/>
    </row>
    <row r="11" spans="1:58" ht="30.75" customHeight="1" x14ac:dyDescent="0.25">
      <c r="A11" s="15">
        <f t="shared" si="2"/>
        <v>45949</v>
      </c>
      <c r="B11" s="15">
        <f t="shared" si="1"/>
        <v>45953</v>
      </c>
      <c r="C11" s="26" t="s">
        <v>39</v>
      </c>
      <c r="D11" s="24">
        <f t="shared" si="0"/>
        <v>45949</v>
      </c>
      <c r="E11" s="176" t="s">
        <v>92</v>
      </c>
      <c r="F11" s="176"/>
      <c r="G11" s="176"/>
      <c r="H11" s="176"/>
      <c r="I11" s="176"/>
      <c r="J11" s="176" t="s">
        <v>44</v>
      </c>
      <c r="K11" s="176"/>
      <c r="L11" s="176"/>
      <c r="M11" s="176"/>
      <c r="N11" s="176"/>
      <c r="O11" s="19">
        <f t="shared" si="3"/>
        <v>45950</v>
      </c>
      <c r="P11" s="176" t="s">
        <v>44</v>
      </c>
      <c r="Q11" s="176"/>
      <c r="R11" s="176"/>
      <c r="S11" s="176"/>
      <c r="T11" s="176"/>
      <c r="U11" s="176" t="s">
        <v>44</v>
      </c>
      <c r="V11" s="176"/>
      <c r="W11" s="176"/>
      <c r="X11" s="176"/>
      <c r="Y11" s="176"/>
      <c r="Z11" s="19">
        <f t="shared" si="4"/>
        <v>45951</v>
      </c>
      <c r="AA11" s="176" t="s">
        <v>44</v>
      </c>
      <c r="AB11" s="176"/>
      <c r="AC11" s="176"/>
      <c r="AD11" s="176"/>
      <c r="AE11" s="176"/>
      <c r="AF11" s="176" t="s">
        <v>44</v>
      </c>
      <c r="AG11" s="176"/>
      <c r="AH11" s="176"/>
      <c r="AI11" s="176"/>
      <c r="AJ11" s="176"/>
      <c r="AK11" s="19">
        <f t="shared" si="5"/>
        <v>45952</v>
      </c>
      <c r="AL11" s="176" t="s">
        <v>44</v>
      </c>
      <c r="AM11" s="176"/>
      <c r="AN11" s="176"/>
      <c r="AO11" s="176"/>
      <c r="AP11" s="176"/>
      <c r="AQ11" s="176" t="s">
        <v>44</v>
      </c>
      <c r="AR11" s="176"/>
      <c r="AS11" s="176"/>
      <c r="AT11" s="176"/>
      <c r="AU11" s="176"/>
      <c r="AV11" s="19">
        <f t="shared" si="6"/>
        <v>45953</v>
      </c>
      <c r="AW11" s="176" t="s">
        <v>44</v>
      </c>
      <c r="AX11" s="176"/>
      <c r="AY11" s="176"/>
      <c r="AZ11" s="176"/>
      <c r="BA11" s="176"/>
      <c r="BB11" s="176"/>
      <c r="BC11" s="176"/>
      <c r="BD11" s="176"/>
      <c r="BE11" s="217"/>
      <c r="BF11" s="52"/>
    </row>
    <row r="12" spans="1:58" ht="70.900000000000006" customHeight="1" x14ac:dyDescent="0.25">
      <c r="A12" s="15">
        <f t="shared" si="2"/>
        <v>45956</v>
      </c>
      <c r="B12" s="15">
        <f t="shared" si="1"/>
        <v>45960</v>
      </c>
      <c r="D12" s="24">
        <f t="shared" si="0"/>
        <v>45956</v>
      </c>
      <c r="E12" s="67"/>
      <c r="F12" s="73"/>
      <c r="G12" s="73"/>
      <c r="H12" s="73"/>
      <c r="I12" s="73"/>
      <c r="J12" s="73"/>
      <c r="K12" s="73"/>
      <c r="L12" s="73"/>
      <c r="M12" s="73"/>
      <c r="N12" s="67"/>
      <c r="O12" s="19">
        <f t="shared" si="3"/>
        <v>45957</v>
      </c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19">
        <f t="shared" si="4"/>
        <v>45958</v>
      </c>
      <c r="AA12" s="26"/>
      <c r="AB12" s="229" t="s">
        <v>32</v>
      </c>
      <c r="AC12" s="230"/>
      <c r="AD12" s="230"/>
      <c r="AE12" s="231"/>
      <c r="AF12" s="231"/>
      <c r="AG12" s="229" t="s">
        <v>32</v>
      </c>
      <c r="AH12" s="229"/>
      <c r="AI12" s="229"/>
      <c r="AJ12" s="229"/>
      <c r="AK12" s="19">
        <f t="shared" si="5"/>
        <v>45959</v>
      </c>
      <c r="AL12" s="26"/>
      <c r="AM12" s="171" t="s">
        <v>65</v>
      </c>
      <c r="AN12" s="171"/>
      <c r="AO12" s="171"/>
      <c r="AP12" s="26"/>
      <c r="AQ12" s="171" t="s">
        <v>65</v>
      </c>
      <c r="AR12" s="171"/>
      <c r="AS12" s="171"/>
      <c r="AT12" s="26"/>
      <c r="AU12" s="26"/>
      <c r="AV12" s="19">
        <f t="shared" si="6"/>
        <v>45960</v>
      </c>
      <c r="AW12" s="17"/>
      <c r="AX12" s="232" t="s">
        <v>28</v>
      </c>
      <c r="AY12" s="232"/>
      <c r="AZ12" s="232"/>
      <c r="BA12" s="17"/>
      <c r="BB12" s="171" t="s">
        <v>93</v>
      </c>
      <c r="BC12" s="171"/>
      <c r="BD12" s="171"/>
      <c r="BE12" s="22"/>
      <c r="BF12" s="27" t="s">
        <v>39</v>
      </c>
    </row>
    <row r="13" spans="1:58" ht="67.900000000000006" customHeight="1" x14ac:dyDescent="0.25">
      <c r="A13" s="15">
        <f t="shared" si="2"/>
        <v>45963</v>
      </c>
      <c r="B13" s="15">
        <f t="shared" si="1"/>
        <v>45967</v>
      </c>
      <c r="D13" s="24">
        <f t="shared" si="0"/>
        <v>45963</v>
      </c>
      <c r="E13" s="67"/>
      <c r="F13" s="158" t="s">
        <v>74</v>
      </c>
      <c r="G13" s="163"/>
      <c r="H13" s="163"/>
      <c r="I13" s="67" t="s">
        <v>26</v>
      </c>
      <c r="J13" s="67"/>
      <c r="K13" s="170" t="s">
        <v>70</v>
      </c>
      <c r="L13" s="170"/>
      <c r="M13" s="170"/>
      <c r="N13" s="70" t="s">
        <v>26</v>
      </c>
      <c r="O13" s="19">
        <f t="shared" si="3"/>
        <v>45964</v>
      </c>
      <c r="P13" s="67"/>
      <c r="Q13" s="171" t="s">
        <v>94</v>
      </c>
      <c r="R13" s="171"/>
      <c r="S13" s="171"/>
      <c r="T13" s="67"/>
      <c r="U13" s="17"/>
      <c r="V13" s="158" t="s">
        <v>83</v>
      </c>
      <c r="W13" s="158"/>
      <c r="X13" s="158"/>
      <c r="Y13" s="67"/>
      <c r="Z13" s="19">
        <f t="shared" si="4"/>
        <v>45965</v>
      </c>
      <c r="AA13" s="67"/>
      <c r="AB13" s="169" t="s">
        <v>124</v>
      </c>
      <c r="AC13" s="169"/>
      <c r="AD13" s="169"/>
      <c r="AE13" s="67"/>
      <c r="AF13" s="67"/>
      <c r="AG13" s="210" t="s">
        <v>49</v>
      </c>
      <c r="AH13" s="210"/>
      <c r="AI13" s="210"/>
      <c r="AJ13" s="67"/>
      <c r="AK13" s="19">
        <f t="shared" si="5"/>
        <v>45966</v>
      </c>
      <c r="AL13" s="17"/>
      <c r="AM13" s="160" t="s">
        <v>75</v>
      </c>
      <c r="AN13" s="160"/>
      <c r="AO13" s="160"/>
      <c r="AQ13" s="160" t="s">
        <v>75</v>
      </c>
      <c r="AR13" s="160"/>
      <c r="AS13" s="160"/>
      <c r="AT13" s="160"/>
      <c r="AV13" s="19">
        <f t="shared" si="6"/>
        <v>45967</v>
      </c>
      <c r="AW13" s="17"/>
      <c r="AX13" s="234" t="s">
        <v>98</v>
      </c>
      <c r="AY13" s="234"/>
      <c r="AZ13" s="234"/>
      <c r="BA13" s="66" t="s">
        <v>104</v>
      </c>
      <c r="BB13" s="171" t="s">
        <v>93</v>
      </c>
      <c r="BC13" s="171"/>
      <c r="BD13" s="171"/>
      <c r="BE13" s="22"/>
      <c r="BF13" s="22"/>
    </row>
    <row r="14" spans="1:58" ht="72" customHeight="1" x14ac:dyDescent="0.25">
      <c r="A14" s="15">
        <f t="shared" si="2"/>
        <v>45970</v>
      </c>
      <c r="B14" s="15">
        <f t="shared" si="1"/>
        <v>45974</v>
      </c>
      <c r="C14" s="23"/>
      <c r="D14" s="24">
        <f t="shared" si="0"/>
        <v>45970</v>
      </c>
      <c r="E14" s="67"/>
      <c r="F14" s="171" t="s">
        <v>95</v>
      </c>
      <c r="G14" s="171"/>
      <c r="H14" s="171"/>
      <c r="I14" s="67"/>
      <c r="J14" s="67"/>
      <c r="K14" s="158" t="s">
        <v>69</v>
      </c>
      <c r="L14" s="163"/>
      <c r="M14" s="163"/>
      <c r="N14" s="6" t="s">
        <v>26</v>
      </c>
      <c r="O14" s="19">
        <f t="shared" si="3"/>
        <v>45971</v>
      </c>
      <c r="P14" s="176" t="s">
        <v>54</v>
      </c>
      <c r="Q14" s="176"/>
      <c r="R14" s="176"/>
      <c r="S14" s="176"/>
      <c r="T14" s="176"/>
      <c r="U14" s="176"/>
      <c r="V14" s="176"/>
      <c r="W14" s="176"/>
      <c r="X14" s="176"/>
      <c r="Y14" s="176"/>
      <c r="Z14" s="19">
        <f t="shared" si="4"/>
        <v>45972</v>
      </c>
      <c r="AA14" s="67"/>
      <c r="AB14" s="233" t="s">
        <v>124</v>
      </c>
      <c r="AC14" s="233"/>
      <c r="AD14" s="233"/>
      <c r="AE14" s="67"/>
      <c r="AF14" s="67"/>
      <c r="AG14" s="160" t="s">
        <v>52</v>
      </c>
      <c r="AH14" s="160"/>
      <c r="AI14" s="160"/>
      <c r="AJ14" s="67"/>
      <c r="AK14" s="19">
        <f t="shared" si="5"/>
        <v>45973</v>
      </c>
      <c r="AM14" s="171" t="s">
        <v>93</v>
      </c>
      <c r="AN14" s="171"/>
      <c r="AO14" s="171"/>
      <c r="AP14" s="71"/>
      <c r="AQ14" s="160" t="s">
        <v>33</v>
      </c>
      <c r="AR14" s="160"/>
      <c r="AS14" s="160"/>
      <c r="AT14" s="160"/>
      <c r="AU14" s="160"/>
      <c r="AV14" s="19">
        <f t="shared" si="6"/>
        <v>45974</v>
      </c>
      <c r="AW14" s="158" t="s">
        <v>35</v>
      </c>
      <c r="AX14" s="163"/>
      <c r="AY14" s="163"/>
      <c r="AZ14" s="163"/>
      <c r="BA14" s="17"/>
      <c r="BB14" s="17"/>
      <c r="BC14" s="17"/>
      <c r="BD14" s="17"/>
      <c r="BE14" s="22"/>
      <c r="BF14" s="21"/>
    </row>
    <row r="15" spans="1:58" ht="60" customHeight="1" x14ac:dyDescent="0.25">
      <c r="A15" s="15">
        <f t="shared" si="2"/>
        <v>45977</v>
      </c>
      <c r="B15" s="15">
        <f t="shared" si="1"/>
        <v>45981</v>
      </c>
      <c r="C15" s="23"/>
      <c r="D15" s="24">
        <f t="shared" si="0"/>
        <v>45977</v>
      </c>
      <c r="E15" s="17"/>
      <c r="F15" s="226" t="s">
        <v>73</v>
      </c>
      <c r="G15" s="226"/>
      <c r="H15" s="226"/>
      <c r="J15" s="67"/>
      <c r="K15" s="170" t="s">
        <v>71</v>
      </c>
      <c r="L15" s="170"/>
      <c r="M15" s="68" t="s">
        <v>62</v>
      </c>
      <c r="N15" s="53" t="s">
        <v>26</v>
      </c>
      <c r="O15" s="19">
        <f t="shared" si="3"/>
        <v>45978</v>
      </c>
      <c r="P15" s="17"/>
      <c r="Q15" s="17"/>
      <c r="R15" s="17"/>
      <c r="S15" s="17"/>
      <c r="T15" s="17"/>
      <c r="U15" s="17"/>
      <c r="V15" s="170" t="s">
        <v>67</v>
      </c>
      <c r="W15" s="170"/>
      <c r="X15" s="170"/>
      <c r="Y15" s="17"/>
      <c r="Z15" s="19">
        <f t="shared" si="4"/>
        <v>45979</v>
      </c>
      <c r="AA15" s="67"/>
      <c r="AB15" s="169" t="s">
        <v>124</v>
      </c>
      <c r="AC15" s="169"/>
      <c r="AD15" s="169"/>
      <c r="AE15" s="67"/>
      <c r="AF15" s="67"/>
      <c r="AG15" s="210" t="s">
        <v>49</v>
      </c>
      <c r="AH15" s="210"/>
      <c r="AI15" s="210"/>
      <c r="AK15" s="19">
        <f t="shared" si="5"/>
        <v>45980</v>
      </c>
      <c r="AL15" s="164" t="s">
        <v>99</v>
      </c>
      <c r="AM15" s="164"/>
      <c r="AO15" s="17"/>
      <c r="AP15" s="55" t="s">
        <v>77</v>
      </c>
      <c r="AQ15" s="160" t="s">
        <v>33</v>
      </c>
      <c r="AR15" s="160"/>
      <c r="AS15" s="160"/>
      <c r="AT15" s="160"/>
      <c r="AU15" s="160"/>
      <c r="AV15" s="19">
        <f t="shared" si="6"/>
        <v>45981</v>
      </c>
      <c r="AW15" s="158" t="s">
        <v>35</v>
      </c>
      <c r="AX15" s="163"/>
      <c r="AY15" s="163"/>
      <c r="AZ15" s="163"/>
      <c r="BA15" s="17"/>
      <c r="BB15" s="17"/>
      <c r="BC15" s="17"/>
      <c r="BD15" s="17"/>
      <c r="BE15" s="22"/>
      <c r="BF15" s="21"/>
    </row>
    <row r="16" spans="1:58" ht="72" customHeight="1" x14ac:dyDescent="0.25">
      <c r="A16" s="15">
        <f t="shared" si="2"/>
        <v>45984</v>
      </c>
      <c r="B16" s="15">
        <f t="shared" si="1"/>
        <v>45988</v>
      </c>
      <c r="D16" s="24">
        <f t="shared" si="0"/>
        <v>45984</v>
      </c>
      <c r="E16" s="17"/>
      <c r="F16" s="158" t="s">
        <v>67</v>
      </c>
      <c r="G16" s="158"/>
      <c r="H16" s="158"/>
      <c r="I16" s="67" t="s">
        <v>26</v>
      </c>
      <c r="J16" s="67" t="s">
        <v>58</v>
      </c>
      <c r="K16" s="184" t="s">
        <v>72</v>
      </c>
      <c r="L16" s="184"/>
      <c r="M16" s="184"/>
      <c r="N16" s="184"/>
      <c r="O16" s="19">
        <f t="shared" si="3"/>
        <v>45985</v>
      </c>
      <c r="P16" s="17"/>
      <c r="Q16" s="226" t="s">
        <v>29</v>
      </c>
      <c r="R16" s="226"/>
      <c r="S16" s="226"/>
      <c r="T16" s="17"/>
      <c r="U16" s="17"/>
      <c r="V16" s="17"/>
      <c r="W16" s="17"/>
      <c r="X16" s="17"/>
      <c r="Y16" s="17"/>
      <c r="Z16" s="19">
        <f t="shared" si="4"/>
        <v>45986</v>
      </c>
      <c r="AA16" s="67"/>
      <c r="AB16" s="169" t="s">
        <v>124</v>
      </c>
      <c r="AC16" s="169"/>
      <c r="AD16" s="169"/>
      <c r="AE16" s="67"/>
      <c r="AF16" s="67"/>
      <c r="AG16" s="233" t="s">
        <v>49</v>
      </c>
      <c r="AH16" s="233"/>
      <c r="AI16" s="233"/>
      <c r="AJ16" s="67"/>
      <c r="AK16" s="19">
        <f t="shared" si="5"/>
        <v>45987</v>
      </c>
      <c r="AL16" s="17"/>
      <c r="AM16" s="160" t="s">
        <v>75</v>
      </c>
      <c r="AN16" s="160"/>
      <c r="AO16" s="160"/>
      <c r="AQ16" s="160" t="s">
        <v>75</v>
      </c>
      <c r="AR16" s="160"/>
      <c r="AS16" s="160"/>
      <c r="AT16" s="160"/>
      <c r="AU16" s="55" t="s">
        <v>77</v>
      </c>
      <c r="AV16" s="19">
        <f t="shared" si="6"/>
        <v>45988</v>
      </c>
      <c r="AW16" s="158" t="s">
        <v>35</v>
      </c>
      <c r="AX16" s="163"/>
      <c r="AY16" s="163"/>
      <c r="AZ16" s="163"/>
      <c r="BA16" s="17"/>
      <c r="BB16" s="184" t="s">
        <v>129</v>
      </c>
      <c r="BC16" s="211"/>
      <c r="BD16" s="17"/>
      <c r="BE16" s="22"/>
      <c r="BF16" s="22"/>
    </row>
    <row r="17" spans="1:66" ht="69" customHeight="1" x14ac:dyDescent="0.25">
      <c r="A17" s="15">
        <f t="shared" si="2"/>
        <v>45991</v>
      </c>
      <c r="B17" s="15">
        <f t="shared" si="1"/>
        <v>45995</v>
      </c>
      <c r="C17" s="26" t="s">
        <v>39</v>
      </c>
      <c r="D17" s="24">
        <f t="shared" si="0"/>
        <v>45991</v>
      </c>
      <c r="E17" s="17"/>
      <c r="F17" s="158" t="s">
        <v>73</v>
      </c>
      <c r="G17" s="158"/>
      <c r="H17" s="158"/>
      <c r="I17" s="67"/>
      <c r="J17" s="67"/>
      <c r="K17" s="158" t="s">
        <v>69</v>
      </c>
      <c r="L17" s="163"/>
      <c r="M17" s="163"/>
      <c r="N17" s="67" t="s">
        <v>26</v>
      </c>
      <c r="O17" s="19">
        <f t="shared" si="3"/>
        <v>45992</v>
      </c>
      <c r="P17" s="17"/>
      <c r="Q17" s="184" t="s">
        <v>110</v>
      </c>
      <c r="R17" s="184"/>
      <c r="S17" s="184"/>
      <c r="T17" s="17"/>
      <c r="U17" s="17"/>
      <c r="V17" s="184" t="s">
        <v>128</v>
      </c>
      <c r="W17" s="184"/>
      <c r="X17" s="184"/>
      <c r="Y17" s="17"/>
      <c r="Z17" s="19">
        <f t="shared" si="4"/>
        <v>45993</v>
      </c>
      <c r="AA17" s="26"/>
      <c r="AB17" s="171" t="s">
        <v>65</v>
      </c>
      <c r="AC17" s="171"/>
      <c r="AD17" s="171"/>
      <c r="AE17" s="26" t="s">
        <v>26</v>
      </c>
      <c r="AF17" s="171" t="s">
        <v>66</v>
      </c>
      <c r="AG17" s="171"/>
      <c r="AH17" s="171"/>
      <c r="AI17" s="26" t="s">
        <v>26</v>
      </c>
      <c r="AJ17" s="26"/>
      <c r="AK17" s="19">
        <f t="shared" si="5"/>
        <v>45994</v>
      </c>
      <c r="AL17" s="26"/>
      <c r="AM17" s="178" t="s">
        <v>64</v>
      </c>
      <c r="AN17" s="179"/>
      <c r="AO17" s="179"/>
      <c r="AP17" s="179"/>
      <c r="AQ17" s="26"/>
      <c r="AR17" s="171" t="s">
        <v>93</v>
      </c>
      <c r="AS17" s="171"/>
      <c r="AT17" s="171"/>
      <c r="AU17" s="26"/>
      <c r="AV17" s="19">
        <f t="shared" si="6"/>
        <v>45995</v>
      </c>
      <c r="AW17" s="158" t="s">
        <v>35</v>
      </c>
      <c r="AX17" s="163"/>
      <c r="AY17" s="163"/>
      <c r="AZ17" s="163"/>
      <c r="BA17" s="17"/>
      <c r="BB17" s="171" t="s">
        <v>95</v>
      </c>
      <c r="BC17" s="171"/>
      <c r="BD17" s="171"/>
      <c r="BE17" s="22"/>
      <c r="BF17" s="27" t="s">
        <v>39</v>
      </c>
      <c r="BG17" s="59" t="s">
        <v>114</v>
      </c>
      <c r="BK17" s="59" t="s">
        <v>114</v>
      </c>
    </row>
    <row r="18" spans="1:66" ht="94.15" customHeight="1" x14ac:dyDescent="0.25">
      <c r="A18" s="15">
        <f t="shared" si="2"/>
        <v>45998</v>
      </c>
      <c r="B18" s="15">
        <f t="shared" si="1"/>
        <v>46002</v>
      </c>
      <c r="C18" s="28"/>
      <c r="D18" s="24">
        <f t="shared" si="0"/>
        <v>45998</v>
      </c>
      <c r="E18" s="17"/>
      <c r="F18" s="171" t="s">
        <v>95</v>
      </c>
      <c r="G18" s="171"/>
      <c r="H18" s="171"/>
      <c r="I18" s="67"/>
      <c r="J18" s="67"/>
      <c r="K18" s="158" t="s">
        <v>69</v>
      </c>
      <c r="L18" s="158"/>
      <c r="M18" s="158"/>
      <c r="N18" s="6" t="s">
        <v>26</v>
      </c>
      <c r="O18" s="19">
        <f t="shared" si="3"/>
        <v>45999</v>
      </c>
      <c r="Q18" s="170" t="s">
        <v>67</v>
      </c>
      <c r="R18" s="170"/>
      <c r="S18" s="170"/>
      <c r="T18" s="17"/>
      <c r="U18" s="17"/>
      <c r="V18" s="171" t="s">
        <v>95</v>
      </c>
      <c r="W18" s="171"/>
      <c r="X18" s="171"/>
      <c r="Y18" s="17"/>
      <c r="Z18" s="19">
        <f t="shared" si="4"/>
        <v>46000</v>
      </c>
      <c r="AA18" s="164" t="s">
        <v>115</v>
      </c>
      <c r="AB18" s="164"/>
      <c r="AC18" s="164"/>
      <c r="AD18" s="164"/>
      <c r="AE18" s="6" t="s">
        <v>26</v>
      </c>
      <c r="AF18" s="6" t="s">
        <v>58</v>
      </c>
      <c r="AG18" s="164" t="s">
        <v>116</v>
      </c>
      <c r="AH18" s="164"/>
      <c r="AI18" s="164"/>
      <c r="AJ18" s="164"/>
      <c r="AK18" s="19">
        <f t="shared" si="5"/>
        <v>46001</v>
      </c>
      <c r="AM18" s="168" t="s">
        <v>124</v>
      </c>
      <c r="AN18" s="168"/>
      <c r="AO18" s="168"/>
      <c r="AR18" s="164" t="s">
        <v>117</v>
      </c>
      <c r="AS18" s="164"/>
      <c r="AT18" s="164"/>
      <c r="AU18" s="164"/>
      <c r="AV18" s="19">
        <f t="shared" si="6"/>
        <v>46002</v>
      </c>
      <c r="AW18" s="158" t="s">
        <v>35</v>
      </c>
      <c r="AX18" s="163"/>
      <c r="AY18" s="163"/>
      <c r="AZ18" s="163"/>
      <c r="BA18" s="17"/>
      <c r="BB18" s="171" t="s">
        <v>95</v>
      </c>
      <c r="BC18" s="171"/>
      <c r="BD18" s="171"/>
      <c r="BE18" s="22"/>
      <c r="BF18" s="22"/>
      <c r="BG18" s="164" t="s">
        <v>34</v>
      </c>
      <c r="BH18" s="164"/>
      <c r="BI18" s="164"/>
      <c r="BJ18" s="164"/>
      <c r="BK18" s="164" t="s">
        <v>117</v>
      </c>
      <c r="BL18" s="164"/>
      <c r="BM18" s="164"/>
      <c r="BN18" s="164"/>
    </row>
    <row r="19" spans="1:66" ht="80.25" customHeight="1" x14ac:dyDescent="0.25">
      <c r="A19" s="15">
        <f t="shared" si="2"/>
        <v>46005</v>
      </c>
      <c r="B19" s="15">
        <f t="shared" si="1"/>
        <v>46009</v>
      </c>
      <c r="D19" s="24">
        <f t="shared" si="0"/>
        <v>46005</v>
      </c>
      <c r="E19" s="17"/>
      <c r="F19" s="171" t="s">
        <v>95</v>
      </c>
      <c r="G19" s="171"/>
      <c r="H19" s="171"/>
      <c r="I19" s="67"/>
      <c r="J19" s="67"/>
      <c r="K19" s="170" t="s">
        <v>67</v>
      </c>
      <c r="L19" s="170"/>
      <c r="M19" s="170"/>
      <c r="O19" s="19">
        <f t="shared" si="3"/>
        <v>46006</v>
      </c>
      <c r="P19" s="17"/>
      <c r="Q19" s="171" t="s">
        <v>93</v>
      </c>
      <c r="R19" s="171"/>
      <c r="S19" s="171"/>
      <c r="U19" s="17"/>
      <c r="V19" s="171" t="s">
        <v>93</v>
      </c>
      <c r="W19" s="171"/>
      <c r="X19" s="171"/>
      <c r="Z19" s="19">
        <f t="shared" si="4"/>
        <v>46007</v>
      </c>
      <c r="AA19" s="67"/>
      <c r="AC19" s="164" t="s">
        <v>85</v>
      </c>
      <c r="AD19" s="164"/>
      <c r="AE19" s="54"/>
      <c r="AF19" s="54"/>
      <c r="AG19" s="160" t="s">
        <v>86</v>
      </c>
      <c r="AH19" s="187"/>
      <c r="AI19" s="187"/>
      <c r="AJ19" s="54"/>
      <c r="AK19" s="57">
        <f t="shared" si="5"/>
        <v>46008</v>
      </c>
      <c r="AL19" s="60" t="s">
        <v>125</v>
      </c>
      <c r="AM19" s="164" t="s">
        <v>53</v>
      </c>
      <c r="AN19" s="164"/>
      <c r="AO19" s="164" t="s">
        <v>101</v>
      </c>
      <c r="AP19" s="164"/>
      <c r="AQ19" s="72" t="s">
        <v>125</v>
      </c>
      <c r="AR19" s="168" t="s">
        <v>86</v>
      </c>
      <c r="AS19" s="235"/>
      <c r="AT19" s="235"/>
      <c r="AU19" s="17"/>
      <c r="AV19" s="19">
        <f t="shared" si="6"/>
        <v>46009</v>
      </c>
      <c r="AX19" s="171" t="s">
        <v>93</v>
      </c>
      <c r="AY19" s="171"/>
      <c r="AZ19" s="171"/>
      <c r="BA19" s="17"/>
      <c r="BB19" s="17"/>
      <c r="BC19" s="17"/>
      <c r="BD19" s="17"/>
      <c r="BE19" s="22"/>
      <c r="BF19" s="22"/>
      <c r="BG19" s="58" t="s">
        <v>111</v>
      </c>
    </row>
    <row r="20" spans="1:66" ht="29.25" customHeight="1" x14ac:dyDescent="0.25">
      <c r="A20" s="15">
        <f t="shared" si="2"/>
        <v>46012</v>
      </c>
      <c r="B20" s="15">
        <f t="shared" si="1"/>
        <v>46016</v>
      </c>
      <c r="D20" s="24">
        <f t="shared" si="0"/>
        <v>46012</v>
      </c>
      <c r="E20" s="176" t="s">
        <v>44</v>
      </c>
      <c r="F20" s="176"/>
      <c r="G20" s="176"/>
      <c r="H20" s="176"/>
      <c r="I20" s="176"/>
      <c r="J20" s="176" t="s">
        <v>44</v>
      </c>
      <c r="K20" s="176"/>
      <c r="L20" s="176"/>
      <c r="M20" s="176"/>
      <c r="N20" s="176"/>
      <c r="O20" s="19">
        <f t="shared" si="3"/>
        <v>46013</v>
      </c>
      <c r="P20" s="176" t="s">
        <v>44</v>
      </c>
      <c r="Q20" s="176"/>
      <c r="R20" s="176"/>
      <c r="S20" s="176"/>
      <c r="T20" s="176"/>
      <c r="U20" s="176" t="s">
        <v>44</v>
      </c>
      <c r="V20" s="176"/>
      <c r="W20" s="176"/>
      <c r="X20" s="176"/>
      <c r="Y20" s="176"/>
      <c r="Z20" s="19">
        <f t="shared" si="4"/>
        <v>46014</v>
      </c>
      <c r="AA20" s="176" t="s">
        <v>44</v>
      </c>
      <c r="AB20" s="176"/>
      <c r="AC20" s="176"/>
      <c r="AD20" s="176"/>
      <c r="AE20" s="176"/>
      <c r="AF20" s="176" t="s">
        <v>44</v>
      </c>
      <c r="AG20" s="176"/>
      <c r="AH20" s="176"/>
      <c r="AI20" s="176"/>
      <c r="AJ20" s="176"/>
      <c r="AK20" s="19">
        <f t="shared" si="5"/>
        <v>46015</v>
      </c>
      <c r="AL20" s="176" t="s">
        <v>44</v>
      </c>
      <c r="AM20" s="176"/>
      <c r="AN20" s="176"/>
      <c r="AO20" s="176"/>
      <c r="AP20" s="176"/>
      <c r="AQ20" s="176" t="s">
        <v>44</v>
      </c>
      <c r="AR20" s="176"/>
      <c r="AS20" s="176"/>
      <c r="AT20" s="176"/>
      <c r="AU20" s="176"/>
      <c r="AV20" s="19">
        <f t="shared" si="6"/>
        <v>46016</v>
      </c>
      <c r="AW20" s="176" t="s">
        <v>44</v>
      </c>
      <c r="AX20" s="176"/>
      <c r="AY20" s="176"/>
      <c r="AZ20" s="176"/>
      <c r="BA20" s="176"/>
      <c r="BB20" s="176"/>
      <c r="BC20" s="176"/>
      <c r="BD20" s="176"/>
      <c r="BE20" s="217"/>
      <c r="BF20" s="22"/>
    </row>
    <row r="21" spans="1:66" ht="32.25" customHeight="1" x14ac:dyDescent="0.25">
      <c r="A21" s="15">
        <f t="shared" si="2"/>
        <v>46019</v>
      </c>
      <c r="B21" s="15">
        <f t="shared" si="1"/>
        <v>46023</v>
      </c>
      <c r="D21" s="24">
        <f t="shared" si="0"/>
        <v>46019</v>
      </c>
      <c r="E21" s="176" t="s">
        <v>44</v>
      </c>
      <c r="F21" s="176"/>
      <c r="G21" s="176"/>
      <c r="H21" s="176"/>
      <c r="I21" s="176"/>
      <c r="J21" s="176" t="s">
        <v>44</v>
      </c>
      <c r="K21" s="176"/>
      <c r="L21" s="176"/>
      <c r="M21" s="176"/>
      <c r="N21" s="176"/>
      <c r="O21" s="19">
        <f t="shared" si="3"/>
        <v>46020</v>
      </c>
      <c r="P21" s="176" t="s">
        <v>44</v>
      </c>
      <c r="Q21" s="176"/>
      <c r="R21" s="176"/>
      <c r="S21" s="176"/>
      <c r="T21" s="176"/>
      <c r="U21" s="176" t="s">
        <v>44</v>
      </c>
      <c r="V21" s="176"/>
      <c r="W21" s="176"/>
      <c r="X21" s="176"/>
      <c r="Y21" s="176"/>
      <c r="Z21" s="19">
        <f t="shared" si="4"/>
        <v>46021</v>
      </c>
      <c r="AA21" s="176" t="s">
        <v>44</v>
      </c>
      <c r="AB21" s="176"/>
      <c r="AC21" s="176"/>
      <c r="AD21" s="176"/>
      <c r="AE21" s="176"/>
      <c r="AF21" s="176" t="s">
        <v>44</v>
      </c>
      <c r="AG21" s="176"/>
      <c r="AH21" s="176"/>
      <c r="AI21" s="176"/>
      <c r="AJ21" s="176"/>
      <c r="AK21" s="19">
        <f t="shared" si="5"/>
        <v>46022</v>
      </c>
      <c r="AL21" s="176" t="s">
        <v>44</v>
      </c>
      <c r="AM21" s="176"/>
      <c r="AN21" s="176"/>
      <c r="AO21" s="176"/>
      <c r="AP21" s="176"/>
      <c r="AQ21" s="176" t="s">
        <v>44</v>
      </c>
      <c r="AR21" s="176"/>
      <c r="AS21" s="176"/>
      <c r="AT21" s="176"/>
      <c r="AU21" s="176"/>
      <c r="AV21" s="19">
        <f t="shared" si="6"/>
        <v>46023</v>
      </c>
      <c r="AW21" s="176" t="s">
        <v>44</v>
      </c>
      <c r="AX21" s="176"/>
      <c r="AY21" s="176"/>
      <c r="AZ21" s="176"/>
      <c r="BA21" s="176"/>
      <c r="BB21" s="176"/>
      <c r="BC21" s="176"/>
      <c r="BD21" s="176"/>
      <c r="BE21" s="217"/>
      <c r="BF21" s="22"/>
    </row>
    <row r="22" spans="1:66" ht="75.75" customHeight="1" x14ac:dyDescent="0.25">
      <c r="A22" s="15">
        <f t="shared" si="2"/>
        <v>46026</v>
      </c>
      <c r="B22" s="15">
        <f t="shared" si="1"/>
        <v>46030</v>
      </c>
      <c r="C22" s="26" t="s">
        <v>39</v>
      </c>
      <c r="D22" s="24">
        <f t="shared" si="0"/>
        <v>46026</v>
      </c>
      <c r="E22" s="17"/>
      <c r="F22" s="158" t="s">
        <v>37</v>
      </c>
      <c r="G22" s="158"/>
      <c r="H22" s="158"/>
      <c r="I22" s="67" t="s">
        <v>26</v>
      </c>
      <c r="J22" s="67"/>
      <c r="K22" s="158" t="s">
        <v>96</v>
      </c>
      <c r="L22" s="158"/>
      <c r="M22" s="6" t="s">
        <v>26</v>
      </c>
      <c r="N22" s="17"/>
      <c r="O22" s="19">
        <f t="shared" si="3"/>
        <v>46027</v>
      </c>
      <c r="R22" s="184" t="s">
        <v>141</v>
      </c>
      <c r="S22" s="184"/>
      <c r="V22" s="171" t="s">
        <v>95</v>
      </c>
      <c r="W22" s="171"/>
      <c r="X22" s="171"/>
      <c r="Y22" s="67"/>
      <c r="Z22" s="19">
        <f t="shared" si="4"/>
        <v>46028</v>
      </c>
      <c r="AA22" s="26"/>
      <c r="AB22" s="158" t="s">
        <v>106</v>
      </c>
      <c r="AC22" s="158"/>
      <c r="AD22" s="158"/>
      <c r="AE22" s="26"/>
      <c r="AF22" s="26"/>
      <c r="AG22" s="158" t="s">
        <v>106</v>
      </c>
      <c r="AH22" s="158"/>
      <c r="AI22" s="158"/>
      <c r="AJ22" s="26"/>
      <c r="AK22" s="19">
        <f t="shared" si="5"/>
        <v>46029</v>
      </c>
      <c r="AL22" s="26"/>
      <c r="AM22" s="181" t="s">
        <v>119</v>
      </c>
      <c r="AN22" s="237"/>
      <c r="AO22" s="69"/>
      <c r="AP22" s="181" t="s">
        <v>120</v>
      </c>
      <c r="AQ22" s="237"/>
      <c r="AR22" s="26"/>
      <c r="AS22" s="171" t="s">
        <v>95</v>
      </c>
      <c r="AT22" s="171"/>
      <c r="AU22" s="171"/>
      <c r="AV22" s="19">
        <f t="shared" si="6"/>
        <v>46030</v>
      </c>
      <c r="AW22" s="158" t="s">
        <v>106</v>
      </c>
      <c r="AX22" s="158"/>
      <c r="AY22" s="158"/>
      <c r="AZ22" s="158"/>
      <c r="BA22" s="17"/>
      <c r="BB22" s="170" t="s">
        <v>91</v>
      </c>
      <c r="BC22" s="170"/>
      <c r="BD22" s="170"/>
      <c r="BE22" s="236"/>
      <c r="BF22" s="27" t="s">
        <v>39</v>
      </c>
    </row>
    <row r="23" spans="1:66" ht="107.25" customHeight="1" x14ac:dyDescent="0.25">
      <c r="A23" s="15">
        <f t="shared" si="2"/>
        <v>46033</v>
      </c>
      <c r="B23" s="15">
        <f t="shared" si="1"/>
        <v>46037</v>
      </c>
      <c r="C23" s="28"/>
      <c r="D23" s="24">
        <f t="shared" si="0"/>
        <v>46033</v>
      </c>
      <c r="E23" s="170" t="s">
        <v>90</v>
      </c>
      <c r="F23" s="170"/>
      <c r="G23" s="170"/>
      <c r="H23" s="170"/>
      <c r="I23" s="17"/>
      <c r="J23" s="67"/>
      <c r="K23" s="228" t="s">
        <v>130</v>
      </c>
      <c r="L23" s="228"/>
      <c r="M23" s="67"/>
      <c r="N23" s="17"/>
      <c r="O23" s="19">
        <f t="shared" si="3"/>
        <v>46034</v>
      </c>
      <c r="P23" s="17"/>
      <c r="Q23" s="169" t="s">
        <v>137</v>
      </c>
      <c r="R23" s="190"/>
      <c r="S23" s="190"/>
      <c r="T23" s="17"/>
      <c r="V23" s="171" t="s">
        <v>95</v>
      </c>
      <c r="W23" s="171"/>
      <c r="X23" s="171"/>
      <c r="Y23" s="17"/>
      <c r="Z23" s="19">
        <f t="shared" si="4"/>
        <v>46035</v>
      </c>
      <c r="AB23" s="169" t="s">
        <v>107</v>
      </c>
      <c r="AC23" s="190"/>
      <c r="AD23" s="190"/>
      <c r="AE23" s="53" t="s">
        <v>26</v>
      </c>
      <c r="AF23" s="53"/>
      <c r="AG23" s="233" t="s">
        <v>108</v>
      </c>
      <c r="AH23" s="233"/>
      <c r="AI23" s="233"/>
      <c r="AJ23" s="6" t="s">
        <v>26</v>
      </c>
      <c r="AK23" s="19">
        <f t="shared" si="5"/>
        <v>46036</v>
      </c>
      <c r="AL23" s="164" t="s">
        <v>121</v>
      </c>
      <c r="AM23" s="164"/>
      <c r="AN23" s="164"/>
      <c r="AO23" s="164"/>
      <c r="AP23" s="54"/>
      <c r="AQ23" s="164" t="s">
        <v>122</v>
      </c>
      <c r="AR23" s="164"/>
      <c r="AS23" s="164"/>
      <c r="AT23" s="164"/>
      <c r="AV23" s="19">
        <f t="shared" si="6"/>
        <v>46037</v>
      </c>
      <c r="AW23" s="17"/>
      <c r="AX23" s="158" t="s">
        <v>38</v>
      </c>
      <c r="AY23" s="158"/>
      <c r="AZ23" s="158"/>
      <c r="BA23" s="67" t="s">
        <v>26</v>
      </c>
      <c r="BB23" s="67"/>
      <c r="BC23" s="158" t="s">
        <v>97</v>
      </c>
      <c r="BD23" s="158"/>
      <c r="BE23" s="22" t="s">
        <v>26</v>
      </c>
      <c r="BF23" s="22"/>
      <c r="BH23" s="6" t="s">
        <v>134</v>
      </c>
    </row>
    <row r="24" spans="1:66" ht="101.25" customHeight="1" x14ac:dyDescent="0.25">
      <c r="A24" s="15">
        <f t="shared" si="2"/>
        <v>46040</v>
      </c>
      <c r="B24" s="15">
        <f t="shared" si="1"/>
        <v>46044</v>
      </c>
      <c r="D24" s="24">
        <f t="shared" si="0"/>
        <v>46040</v>
      </c>
      <c r="E24" s="67"/>
      <c r="F24" s="67"/>
      <c r="G24" s="184" t="s">
        <v>109</v>
      </c>
      <c r="H24" s="184"/>
      <c r="I24" s="67"/>
      <c r="J24" s="67"/>
      <c r="K24" s="171" t="s">
        <v>95</v>
      </c>
      <c r="L24" s="171"/>
      <c r="M24" s="171"/>
      <c r="N24" s="17"/>
      <c r="O24" s="19">
        <f t="shared" si="3"/>
        <v>46041</v>
      </c>
      <c r="P24" s="17"/>
      <c r="Q24" s="171" t="s">
        <v>95</v>
      </c>
      <c r="R24" s="171"/>
      <c r="S24" s="171"/>
      <c r="T24" s="17"/>
      <c r="U24" s="184" t="s">
        <v>131</v>
      </c>
      <c r="V24" s="184"/>
      <c r="W24" s="184"/>
      <c r="X24" s="184"/>
      <c r="Y24" s="184"/>
      <c r="Z24" s="19">
        <f t="shared" si="4"/>
        <v>46042</v>
      </c>
      <c r="AB24" s="161" t="s">
        <v>112</v>
      </c>
      <c r="AC24" s="162"/>
      <c r="AD24" s="162"/>
      <c r="AF24" s="239" t="s">
        <v>132</v>
      </c>
      <c r="AG24" s="239"/>
      <c r="AH24" s="239"/>
      <c r="AI24" s="239"/>
      <c r="AJ24" s="239"/>
      <c r="AK24" s="19">
        <f t="shared" si="5"/>
        <v>46043</v>
      </c>
      <c r="AL24" s="161" t="s">
        <v>113</v>
      </c>
      <c r="AM24" s="161"/>
      <c r="AN24" s="161"/>
      <c r="AO24" s="161"/>
      <c r="AQ24" s="201" t="s">
        <v>133</v>
      </c>
      <c r="AR24" s="201"/>
      <c r="AS24" s="201"/>
      <c r="AT24" s="201"/>
      <c r="AU24" s="201"/>
      <c r="AV24" s="19">
        <f t="shared" si="6"/>
        <v>46044</v>
      </c>
      <c r="AW24" s="191" t="s">
        <v>138</v>
      </c>
      <c r="AX24" s="191"/>
      <c r="AY24" s="191"/>
      <c r="AZ24" s="191"/>
      <c r="BA24" s="191"/>
      <c r="BB24" s="191"/>
      <c r="BC24" s="191"/>
      <c r="BD24" s="191"/>
      <c r="BE24" s="220"/>
      <c r="BF24" s="22"/>
      <c r="BH24" t="s">
        <v>135</v>
      </c>
    </row>
    <row r="25" spans="1:66" ht="77.25" customHeight="1" x14ac:dyDescent="0.25">
      <c r="A25" s="15">
        <f t="shared" si="2"/>
        <v>46047</v>
      </c>
      <c r="B25" s="15">
        <f t="shared" si="1"/>
        <v>46051</v>
      </c>
      <c r="D25" s="24">
        <f t="shared" si="0"/>
        <v>46047</v>
      </c>
      <c r="E25" s="192" t="s">
        <v>138</v>
      </c>
      <c r="F25" s="192"/>
      <c r="G25" s="192"/>
      <c r="H25" s="192"/>
      <c r="I25" s="192"/>
      <c r="J25" s="192"/>
      <c r="K25" s="192"/>
      <c r="L25" s="192"/>
      <c r="M25" s="192"/>
      <c r="N25" s="192"/>
      <c r="O25" s="19">
        <f t="shared" si="3"/>
        <v>46048</v>
      </c>
      <c r="P25" s="192" t="s">
        <v>138</v>
      </c>
      <c r="Q25" s="192"/>
      <c r="R25" s="192"/>
      <c r="S25" s="192"/>
      <c r="T25" s="192"/>
      <c r="U25" s="192"/>
      <c r="V25" s="192"/>
      <c r="W25" s="192"/>
      <c r="X25" s="192"/>
      <c r="Y25" s="192"/>
      <c r="Z25" s="19">
        <f t="shared" si="4"/>
        <v>46049</v>
      </c>
      <c r="AA25" s="67"/>
      <c r="AB25" s="17"/>
      <c r="AC25" s="17"/>
      <c r="AD25" s="17"/>
      <c r="AE25" s="67"/>
      <c r="AF25" s="67" t="s">
        <v>58</v>
      </c>
      <c r="AG25" s="238" t="s">
        <v>88</v>
      </c>
      <c r="AH25" s="238"/>
      <c r="AI25" s="238"/>
      <c r="AJ25" s="238"/>
      <c r="AK25" s="19">
        <f t="shared" si="5"/>
        <v>46050</v>
      </c>
      <c r="AL25" s="164" t="s">
        <v>123</v>
      </c>
      <c r="AM25" s="164"/>
      <c r="AN25" s="164"/>
      <c r="AO25" s="164"/>
      <c r="AR25" s="169" t="s">
        <v>76</v>
      </c>
      <c r="AS25" s="169"/>
      <c r="AT25" s="169"/>
      <c r="AU25" s="67"/>
      <c r="AV25" s="19">
        <f t="shared" si="6"/>
        <v>46051</v>
      </c>
      <c r="AW25" s="191" t="s">
        <v>138</v>
      </c>
      <c r="AX25" s="191"/>
      <c r="AY25" s="191"/>
      <c r="AZ25" s="191"/>
      <c r="BA25" s="191"/>
      <c r="BB25" s="191"/>
      <c r="BC25" s="191"/>
      <c r="BD25" s="191"/>
      <c r="BE25" s="220"/>
      <c r="BF25" s="22"/>
      <c r="BH25" s="61" t="s">
        <v>136</v>
      </c>
    </row>
    <row r="26" spans="1:66" ht="58.5" customHeight="1" x14ac:dyDescent="0.25">
      <c r="A26" s="15">
        <f t="shared" si="2"/>
        <v>46054</v>
      </c>
      <c r="B26" s="15">
        <f t="shared" si="1"/>
        <v>46058</v>
      </c>
      <c r="C26" s="23"/>
      <c r="D26" s="24">
        <f>A26</f>
        <v>46054</v>
      </c>
      <c r="E26" s="192" t="s">
        <v>41</v>
      </c>
      <c r="F26" s="192"/>
      <c r="G26" s="192"/>
      <c r="H26" s="192"/>
      <c r="I26" s="192"/>
      <c r="J26" s="192"/>
      <c r="K26" s="192"/>
      <c r="L26" s="192"/>
      <c r="M26" s="192"/>
      <c r="N26" s="192"/>
      <c r="O26" s="19">
        <f t="shared" si="3"/>
        <v>46055</v>
      </c>
      <c r="P26" s="174" t="s">
        <v>140</v>
      </c>
      <c r="Q26" s="174"/>
      <c r="R26" s="174"/>
      <c r="S26" s="192" t="s">
        <v>41</v>
      </c>
      <c r="T26" s="192"/>
      <c r="U26" s="192"/>
      <c r="V26" s="192"/>
      <c r="W26" s="192"/>
      <c r="X26" s="192"/>
      <c r="Y26" s="192"/>
      <c r="Z26" s="19">
        <f t="shared" si="4"/>
        <v>46056</v>
      </c>
      <c r="AA26" s="192" t="s">
        <v>41</v>
      </c>
      <c r="AB26" s="192"/>
      <c r="AC26" s="192"/>
      <c r="AD26" s="192"/>
      <c r="AE26" s="192"/>
      <c r="AF26" s="192"/>
      <c r="AG26" s="192"/>
      <c r="AH26" s="192"/>
      <c r="AI26" s="192"/>
      <c r="AJ26" s="192"/>
      <c r="AK26" s="19">
        <f t="shared" si="5"/>
        <v>46057</v>
      </c>
      <c r="AL26" s="192" t="s">
        <v>41</v>
      </c>
      <c r="AM26" s="192"/>
      <c r="AN26" s="192"/>
      <c r="AO26" s="192"/>
      <c r="AP26" s="192"/>
      <c r="AQ26" s="192"/>
      <c r="AR26" s="192"/>
      <c r="AS26" s="192"/>
      <c r="AT26" s="192"/>
      <c r="AU26" s="192"/>
      <c r="AV26" s="19">
        <f t="shared" si="6"/>
        <v>46058</v>
      </c>
      <c r="AW26" s="191" t="s">
        <v>41</v>
      </c>
      <c r="AX26" s="191"/>
      <c r="AY26" s="191"/>
      <c r="AZ26" s="191"/>
      <c r="BA26" s="191"/>
      <c r="BB26" s="191"/>
      <c r="BC26" s="191"/>
      <c r="BD26" s="191"/>
      <c r="BE26" s="220"/>
      <c r="BF26" s="21"/>
    </row>
    <row r="27" spans="1:66" ht="106.9" customHeight="1" thickBot="1" x14ac:dyDescent="0.3">
      <c r="A27" s="15">
        <f t="shared" si="2"/>
        <v>46061</v>
      </c>
      <c r="B27" s="15">
        <f t="shared" si="1"/>
        <v>46065</v>
      </c>
      <c r="C27" s="26" t="s">
        <v>39</v>
      </c>
      <c r="D27" s="30">
        <f t="shared" si="0"/>
        <v>46061</v>
      </c>
      <c r="E27" s="241" t="s">
        <v>13</v>
      </c>
      <c r="F27" s="241"/>
      <c r="G27" s="241"/>
      <c r="H27" s="241"/>
      <c r="I27" s="241"/>
      <c r="J27" s="241" t="s">
        <v>13</v>
      </c>
      <c r="K27" s="241"/>
      <c r="L27" s="241"/>
      <c r="M27" s="241"/>
      <c r="N27" s="241"/>
      <c r="O27" s="56">
        <f t="shared" si="3"/>
        <v>46062</v>
      </c>
      <c r="P27" s="241" t="s">
        <v>55</v>
      </c>
      <c r="Q27" s="241"/>
      <c r="R27" s="241"/>
      <c r="S27" s="241"/>
      <c r="T27" s="241"/>
      <c r="U27" s="241" t="s">
        <v>13</v>
      </c>
      <c r="V27" s="241"/>
      <c r="W27" s="241"/>
      <c r="X27" s="241"/>
      <c r="Y27" s="241"/>
      <c r="Z27" s="56">
        <f t="shared" si="4"/>
        <v>46063</v>
      </c>
      <c r="AA27" s="240" t="s">
        <v>139</v>
      </c>
      <c r="AB27" s="240"/>
      <c r="AC27" s="240"/>
      <c r="AD27" s="240" t="s">
        <v>14</v>
      </c>
      <c r="AE27" s="240"/>
      <c r="AF27" s="240" t="s">
        <v>118</v>
      </c>
      <c r="AG27" s="240"/>
      <c r="AH27" s="240"/>
      <c r="AI27" s="240"/>
      <c r="AJ27" s="240"/>
      <c r="AK27" s="56">
        <f t="shared" si="5"/>
        <v>46064</v>
      </c>
      <c r="AL27" s="240" t="s">
        <v>126</v>
      </c>
      <c r="AM27" s="240"/>
      <c r="AN27" s="240"/>
      <c r="AO27" s="240"/>
      <c r="AP27" s="240"/>
      <c r="AQ27" s="240" t="s">
        <v>127</v>
      </c>
      <c r="AR27" s="240"/>
      <c r="AS27" s="240"/>
      <c r="AT27" s="240"/>
      <c r="AU27" s="240"/>
      <c r="AV27" s="56">
        <f t="shared" si="6"/>
        <v>46065</v>
      </c>
      <c r="AW27" s="241" t="s">
        <v>13</v>
      </c>
      <c r="AX27" s="241"/>
      <c r="AY27" s="241"/>
      <c r="AZ27" s="241"/>
      <c r="BA27" s="241"/>
      <c r="BB27" s="241" t="s">
        <v>13</v>
      </c>
      <c r="BC27" s="241"/>
      <c r="BD27" s="241"/>
      <c r="BE27" s="31"/>
      <c r="BF27" s="32"/>
    </row>
    <row r="28" spans="1:66" x14ac:dyDescent="0.25">
      <c r="A28" s="33"/>
      <c r="B28" s="33"/>
      <c r="C28" s="67"/>
      <c r="D28" s="34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34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34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34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34"/>
      <c r="AW28" s="67"/>
      <c r="BF28" s="23"/>
    </row>
    <row r="29" spans="1:66" x14ac:dyDescent="0.25">
      <c r="A29" s="67"/>
      <c r="B29" s="67"/>
      <c r="C29" s="67"/>
      <c r="D29" s="4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201" t="s">
        <v>87</v>
      </c>
      <c r="AG29" s="201"/>
      <c r="AH29" s="201"/>
      <c r="AI29" s="201"/>
      <c r="AJ29" s="201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</row>
    <row r="30" spans="1:66" x14ac:dyDescent="0.25">
      <c r="AL30" s="35"/>
      <c r="AM30" s="35"/>
      <c r="AN30" s="35"/>
      <c r="AO30" s="36" t="s">
        <v>12</v>
      </c>
    </row>
    <row r="31" spans="1:66" x14ac:dyDescent="0.25">
      <c r="U31" s="37"/>
      <c r="V31" s="37"/>
      <c r="W31" s="38"/>
      <c r="X31" s="39" t="s">
        <v>12</v>
      </c>
      <c r="Y31" s="17"/>
      <c r="AL31" s="40"/>
      <c r="AM31" s="40"/>
      <c r="AN31" s="40"/>
      <c r="AO31" s="41" t="s">
        <v>6</v>
      </c>
    </row>
    <row r="32" spans="1:66" ht="16.5" thickBot="1" x14ac:dyDescent="0.3">
      <c r="M32" s="42"/>
      <c r="N32" s="29"/>
      <c r="O32" s="6" t="s">
        <v>10</v>
      </c>
      <c r="Q32" s="6" t="s">
        <v>42</v>
      </c>
      <c r="U32" s="40"/>
      <c r="V32" s="40"/>
      <c r="W32" s="43"/>
      <c r="X32" s="39" t="s">
        <v>6</v>
      </c>
      <c r="Y32" s="17"/>
      <c r="AA32" s="202" t="s">
        <v>56</v>
      </c>
      <c r="AB32" s="202"/>
      <c r="AC32" s="202"/>
      <c r="AD32" s="202" t="s">
        <v>14</v>
      </c>
      <c r="AE32" s="202"/>
      <c r="AF32" s="202" t="s">
        <v>102</v>
      </c>
      <c r="AG32" s="202"/>
      <c r="AH32" s="202"/>
      <c r="AI32" s="202"/>
      <c r="AJ32" s="202"/>
      <c r="AL32" s="44"/>
      <c r="AM32" s="44"/>
      <c r="AN32" s="44"/>
      <c r="AO32" s="41" t="s">
        <v>7</v>
      </c>
      <c r="BE32" s="240"/>
      <c r="BF32" s="240"/>
      <c r="BG32" s="240"/>
      <c r="BH32" s="240"/>
      <c r="BI32" s="240"/>
    </row>
    <row r="33" spans="4:50" x14ac:dyDescent="0.25">
      <c r="M33" s="45"/>
      <c r="N33" s="45"/>
      <c r="O33" s="6" t="s">
        <v>15</v>
      </c>
      <c r="U33" s="44"/>
      <c r="V33" s="44"/>
      <c r="W33" s="44"/>
      <c r="X33" s="39" t="s">
        <v>7</v>
      </c>
      <c r="Y33" s="17"/>
      <c r="AL33" s="46"/>
      <c r="AM33" s="46"/>
      <c r="AN33" s="46"/>
      <c r="AO33" s="41" t="s">
        <v>8</v>
      </c>
    </row>
    <row r="34" spans="4:50" x14ac:dyDescent="0.25">
      <c r="U34" s="46"/>
      <c r="V34" s="46"/>
      <c r="W34" s="47"/>
      <c r="X34" s="39" t="s">
        <v>8</v>
      </c>
      <c r="Y34" s="17"/>
      <c r="AL34" s="48"/>
      <c r="AM34" s="48"/>
      <c r="AN34" s="48"/>
      <c r="AO34" s="41" t="s">
        <v>9</v>
      </c>
      <c r="AQ34" s="67"/>
      <c r="AR34" s="67"/>
      <c r="AS34" s="67"/>
      <c r="AT34" s="67"/>
      <c r="AU34" s="67"/>
      <c r="AV34" s="67"/>
      <c r="AW34" s="67"/>
      <c r="AX34" s="67"/>
    </row>
    <row r="35" spans="4:50" x14ac:dyDescent="0.25">
      <c r="D35" s="6"/>
      <c r="U35" s="48"/>
      <c r="V35" s="48"/>
      <c r="W35" s="49"/>
      <c r="X35" s="39" t="s">
        <v>9</v>
      </c>
      <c r="Y35" s="17"/>
      <c r="AF35" s="23"/>
      <c r="AG35" s="23"/>
      <c r="AH35" s="23"/>
      <c r="AQ35" s="67"/>
      <c r="AR35" s="67"/>
      <c r="AS35" s="67"/>
      <c r="AT35" s="203"/>
      <c r="AU35" s="203"/>
      <c r="AV35" s="203"/>
      <c r="AW35" s="67"/>
      <c r="AX35" s="67"/>
    </row>
    <row r="36" spans="4:50" x14ac:dyDescent="0.25">
      <c r="D36" s="6"/>
    </row>
    <row r="37" spans="4:50" ht="89.45" customHeight="1" thickBot="1" x14ac:dyDescent="0.3">
      <c r="D37" s="6"/>
      <c r="AA37" s="198" t="s">
        <v>78</v>
      </c>
      <c r="AB37" s="198"/>
      <c r="AC37" s="198"/>
      <c r="AD37" s="198"/>
      <c r="AE37" s="198"/>
      <c r="AF37" s="198"/>
      <c r="AG37" s="198"/>
      <c r="AH37" s="198"/>
      <c r="AI37" s="198"/>
      <c r="AJ37" s="198"/>
      <c r="AL37" s="199" t="s">
        <v>57</v>
      </c>
      <c r="AM37" s="199"/>
      <c r="AN37" s="199"/>
      <c r="AO37" s="199"/>
      <c r="AP37" s="199"/>
      <c r="AR37" s="199" t="s">
        <v>103</v>
      </c>
      <c r="AS37" s="199"/>
      <c r="AT37" s="199"/>
      <c r="AU37" s="199"/>
      <c r="AV37" s="199"/>
      <c r="AW37" s="67"/>
      <c r="AX37" s="67"/>
    </row>
    <row r="38" spans="4:50" ht="14.45" customHeight="1" x14ac:dyDescent="0.25">
      <c r="D38" s="6"/>
      <c r="AU38" s="67"/>
      <c r="AV38" s="67"/>
      <c r="AW38" s="67"/>
      <c r="AX38" s="67"/>
    </row>
    <row r="39" spans="4:50" ht="76.150000000000006" customHeight="1" x14ac:dyDescent="0.25">
      <c r="D39" s="6"/>
      <c r="AV39" s="67"/>
      <c r="AW39" s="67"/>
      <c r="AX39" s="67"/>
    </row>
    <row r="40" spans="4:50" ht="14.45" customHeight="1" x14ac:dyDescent="0.25">
      <c r="D40" s="6"/>
      <c r="AC40" s="6" t="s">
        <v>42</v>
      </c>
      <c r="AX40" s="67"/>
    </row>
    <row r="41" spans="4:50" x14ac:dyDescent="0.25">
      <c r="D41" s="6"/>
      <c r="AQ41" s="67"/>
      <c r="AV41" s="67"/>
      <c r="AW41" s="67"/>
      <c r="AX41" s="67"/>
    </row>
    <row r="42" spans="4:50" x14ac:dyDescent="0.25">
      <c r="D42" s="6"/>
      <c r="AQ42" s="67"/>
    </row>
    <row r="43" spans="4:50" x14ac:dyDescent="0.25">
      <c r="D43" s="6"/>
      <c r="AQ43" s="67"/>
      <c r="AR43" s="67"/>
      <c r="AS43" s="67"/>
      <c r="AX43" s="67"/>
    </row>
    <row r="44" spans="4:50" x14ac:dyDescent="0.25">
      <c r="AX44" s="67"/>
    </row>
    <row r="45" spans="4:50" x14ac:dyDescent="0.25">
      <c r="AX45" s="67"/>
    </row>
    <row r="46" spans="4:50" x14ac:dyDescent="0.25">
      <c r="T46" s="51"/>
    </row>
    <row r="48" spans="4:50" x14ac:dyDescent="0.25">
      <c r="AP48" s="50"/>
      <c r="AQ48" s="50"/>
      <c r="AR48" s="50"/>
      <c r="AS48" s="50"/>
    </row>
  </sheetData>
  <mergeCells count="224">
    <mergeCell ref="BE32:BI32"/>
    <mergeCell ref="AT35:AV35"/>
    <mergeCell ref="AA37:AJ37"/>
    <mergeCell ref="AL37:AP37"/>
    <mergeCell ref="AR37:AV37"/>
    <mergeCell ref="E5:H5"/>
    <mergeCell ref="J5:N5"/>
    <mergeCell ref="AB5:AD5"/>
    <mergeCell ref="AG5:AI5"/>
    <mergeCell ref="AL27:AP27"/>
    <mergeCell ref="AQ27:AU27"/>
    <mergeCell ref="AW27:BA27"/>
    <mergeCell ref="BB27:BD27"/>
    <mergeCell ref="AF29:AJ29"/>
    <mergeCell ref="AA32:AE32"/>
    <mergeCell ref="AF32:AJ32"/>
    <mergeCell ref="E27:I27"/>
    <mergeCell ref="J27:N27"/>
    <mergeCell ref="P27:T27"/>
    <mergeCell ref="U27:Y27"/>
    <mergeCell ref="AA27:AE27"/>
    <mergeCell ref="AF27:AJ27"/>
    <mergeCell ref="E26:N26"/>
    <mergeCell ref="AL26:AU26"/>
    <mergeCell ref="AW26:BE26"/>
    <mergeCell ref="AL24:AO24"/>
    <mergeCell ref="AQ24:AU24"/>
    <mergeCell ref="AW24:BE24"/>
    <mergeCell ref="E25:N25"/>
    <mergeCell ref="P25:Y25"/>
    <mergeCell ref="AG25:AJ25"/>
    <mergeCell ref="AL25:AO25"/>
    <mergeCell ref="AR25:AT25"/>
    <mergeCell ref="AW25:BE25"/>
    <mergeCell ref="G24:H24"/>
    <mergeCell ref="K24:M24"/>
    <mergeCell ref="Q24:S24"/>
    <mergeCell ref="U24:Y24"/>
    <mergeCell ref="AB24:AD24"/>
    <mergeCell ref="AF24:AJ24"/>
    <mergeCell ref="P26:R26"/>
    <mergeCell ref="S26:Y26"/>
    <mergeCell ref="AA26:AJ26"/>
    <mergeCell ref="AW22:AZ22"/>
    <mergeCell ref="BB22:BE22"/>
    <mergeCell ref="E23:H23"/>
    <mergeCell ref="K23:L23"/>
    <mergeCell ref="Q23:S23"/>
    <mergeCell ref="V23:X23"/>
    <mergeCell ref="AB23:AD23"/>
    <mergeCell ref="AG23:AI23"/>
    <mergeCell ref="AL23:AO23"/>
    <mergeCell ref="AQ23:AT23"/>
    <mergeCell ref="AX23:AZ23"/>
    <mergeCell ref="BC23:BD23"/>
    <mergeCell ref="F22:H22"/>
    <mergeCell ref="K22:L22"/>
    <mergeCell ref="R22:S22"/>
    <mergeCell ref="V22:X22"/>
    <mergeCell ref="AB22:AD22"/>
    <mergeCell ref="AG22:AI22"/>
    <mergeCell ref="AM22:AN22"/>
    <mergeCell ref="AP22:AQ22"/>
    <mergeCell ref="AS22:AU22"/>
    <mergeCell ref="E21:I21"/>
    <mergeCell ref="J21:N21"/>
    <mergeCell ref="P21:T21"/>
    <mergeCell ref="U21:Y21"/>
    <mergeCell ref="AA21:AE21"/>
    <mergeCell ref="AF21:AJ21"/>
    <mergeCell ref="AL21:AP21"/>
    <mergeCell ref="AQ21:AU21"/>
    <mergeCell ref="AW21:BE21"/>
    <mergeCell ref="E20:I20"/>
    <mergeCell ref="J20:N20"/>
    <mergeCell ref="P20:T20"/>
    <mergeCell ref="U20:Y20"/>
    <mergeCell ref="AA20:AE20"/>
    <mergeCell ref="AF20:AJ20"/>
    <mergeCell ref="AL20:AP20"/>
    <mergeCell ref="AQ20:AU20"/>
    <mergeCell ref="AW20:BE20"/>
    <mergeCell ref="BB18:BD18"/>
    <mergeCell ref="BG18:BJ18"/>
    <mergeCell ref="BK18:BN18"/>
    <mergeCell ref="F19:H19"/>
    <mergeCell ref="K19:M19"/>
    <mergeCell ref="Q19:S19"/>
    <mergeCell ref="V19:X19"/>
    <mergeCell ref="AC19:AD19"/>
    <mergeCell ref="AG19:AI19"/>
    <mergeCell ref="AM19:AN19"/>
    <mergeCell ref="AO19:AP19"/>
    <mergeCell ref="AR19:AT19"/>
    <mergeCell ref="AX19:AZ19"/>
    <mergeCell ref="F18:H18"/>
    <mergeCell ref="K18:M18"/>
    <mergeCell ref="Q18:S18"/>
    <mergeCell ref="V18:X18"/>
    <mergeCell ref="AA18:AD18"/>
    <mergeCell ref="AG18:AJ18"/>
    <mergeCell ref="AM18:AO18"/>
    <mergeCell ref="AR18:AU18"/>
    <mergeCell ref="AW18:AZ18"/>
    <mergeCell ref="BB16:BC16"/>
    <mergeCell ref="F17:H17"/>
    <mergeCell ref="K17:M17"/>
    <mergeCell ref="Q17:S17"/>
    <mergeCell ref="V17:X17"/>
    <mergeCell ref="AB17:AD17"/>
    <mergeCell ref="AF17:AH17"/>
    <mergeCell ref="AM17:AP17"/>
    <mergeCell ref="F16:H16"/>
    <mergeCell ref="K16:N16"/>
    <mergeCell ref="Q16:S16"/>
    <mergeCell ref="AB16:AD16"/>
    <mergeCell ref="AG16:AI16"/>
    <mergeCell ref="AM16:AO16"/>
    <mergeCell ref="AR17:AT17"/>
    <mergeCell ref="AW17:AZ17"/>
    <mergeCell ref="BB17:BD17"/>
    <mergeCell ref="F15:H15"/>
    <mergeCell ref="K15:L15"/>
    <mergeCell ref="V15:X15"/>
    <mergeCell ref="AB15:AD15"/>
    <mergeCell ref="AG15:AI15"/>
    <mergeCell ref="AL15:AM15"/>
    <mergeCell ref="AQ15:AU15"/>
    <mergeCell ref="AW15:AZ15"/>
    <mergeCell ref="AQ16:AT16"/>
    <mergeCell ref="AW16:AZ16"/>
    <mergeCell ref="BB13:BD13"/>
    <mergeCell ref="F14:H14"/>
    <mergeCell ref="K14:M14"/>
    <mergeCell ref="P14:Y14"/>
    <mergeCell ref="AB14:AD14"/>
    <mergeCell ref="AG14:AI14"/>
    <mergeCell ref="AM14:AO14"/>
    <mergeCell ref="AQ14:AU14"/>
    <mergeCell ref="AW14:AZ14"/>
    <mergeCell ref="F13:H13"/>
    <mergeCell ref="K13:M13"/>
    <mergeCell ref="Q13:S13"/>
    <mergeCell ref="V13:X13"/>
    <mergeCell ref="AB13:AD13"/>
    <mergeCell ref="AG13:AI13"/>
    <mergeCell ref="AM13:AO13"/>
    <mergeCell ref="AQ13:AT13"/>
    <mergeCell ref="AX13:AZ13"/>
    <mergeCell ref="AL11:AP11"/>
    <mergeCell ref="AQ11:AU11"/>
    <mergeCell ref="AW11:BE11"/>
    <mergeCell ref="AB12:AD12"/>
    <mergeCell ref="AE12:AF12"/>
    <mergeCell ref="AG12:AJ12"/>
    <mergeCell ref="AM12:AO12"/>
    <mergeCell ref="E11:I11"/>
    <mergeCell ref="J11:N11"/>
    <mergeCell ref="P11:T11"/>
    <mergeCell ref="U11:Y11"/>
    <mergeCell ref="AA11:AE11"/>
    <mergeCell ref="AF11:AJ11"/>
    <mergeCell ref="AQ12:AS12"/>
    <mergeCell ref="AX12:AZ12"/>
    <mergeCell ref="BB12:BD12"/>
    <mergeCell ref="F10:H10"/>
    <mergeCell ref="K10:M10"/>
    <mergeCell ref="Q10:S10"/>
    <mergeCell ref="V10:X10"/>
    <mergeCell ref="AB10:AD10"/>
    <mergeCell ref="AG10:AJ10"/>
    <mergeCell ref="AM10:AO10"/>
    <mergeCell ref="AQ10:AS10"/>
    <mergeCell ref="AW10:BE10"/>
    <mergeCell ref="AY8:AZ8"/>
    <mergeCell ref="BB8:BE8"/>
    <mergeCell ref="F9:H9"/>
    <mergeCell ref="K9:L9"/>
    <mergeCell ref="Q9:S9"/>
    <mergeCell ref="V9:W9"/>
    <mergeCell ref="AB9:AD9"/>
    <mergeCell ref="AG9:AI9"/>
    <mergeCell ref="AM9:AO9"/>
    <mergeCell ref="AQ9:AS9"/>
    <mergeCell ref="AX9:AZ9"/>
    <mergeCell ref="F8:H8"/>
    <mergeCell ref="Q8:S8"/>
    <mergeCell ref="V8:X8"/>
    <mergeCell ref="AA8:AD8"/>
    <mergeCell ref="AG8:AI8"/>
    <mergeCell ref="AM8:AO8"/>
    <mergeCell ref="AQ8:AT8"/>
    <mergeCell ref="K7:N7"/>
    <mergeCell ref="V7:X7"/>
    <mergeCell ref="AB7:AD7"/>
    <mergeCell ref="AF7:AH7"/>
    <mergeCell ref="AN7:AO7"/>
    <mergeCell ref="AQ7:AR7"/>
    <mergeCell ref="F6:H6"/>
    <mergeCell ref="K6:L6"/>
    <mergeCell ref="Q6:S6"/>
    <mergeCell ref="V6:X6"/>
    <mergeCell ref="AA6:AD6"/>
    <mergeCell ref="AG6:AH6"/>
    <mergeCell ref="AM6:AO6"/>
    <mergeCell ref="AQ6:AS6"/>
    <mergeCell ref="AS7:AT7"/>
    <mergeCell ref="AQ4:AT4"/>
    <mergeCell ref="AX4:AZ4"/>
    <mergeCell ref="U5:X5"/>
    <mergeCell ref="AL5:AO5"/>
    <mergeCell ref="AR5:AU5"/>
    <mergeCell ref="AX5:AZ5"/>
    <mergeCell ref="D1:M1"/>
    <mergeCell ref="O1:X1"/>
    <mergeCell ref="Z1:AI1"/>
    <mergeCell ref="AK1:AT1"/>
    <mergeCell ref="AV1:BE1"/>
    <mergeCell ref="Q4:R4"/>
    <mergeCell ref="V4:X4"/>
    <mergeCell ref="AC4:AD4"/>
    <mergeCell ref="AG4:AI4"/>
    <mergeCell ref="AM4:AO4"/>
    <mergeCell ref="BC5:BE5"/>
  </mergeCells>
  <hyperlinks>
    <hyperlink ref="BH25" r:id="rId1" display="https://sites.google.com/view/fm4b-lab/contact-us" xr:uid="{00549E73-0CDD-4B20-BC4B-8683E4028950}"/>
  </hyperlinks>
  <pageMargins left="0.25" right="0.25" top="0.75" bottom="0.75" header="0.3" footer="0.3"/>
  <pageSetup paperSize="8" scale="59" fitToWidth="0" orientation="portrait" r:id="rId2"/>
  <rowBreaks count="1" manualBreakCount="1">
    <brk id="16" min="3" max="55" man="1"/>
  </rowBreaks>
  <colBreaks count="2" manualBreakCount="2">
    <brk id="25" max="35" man="1"/>
    <brk id="47" max="35" man="1"/>
  </colBreaks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8745-C241-4C0F-8C3B-76F920FDC568}">
  <dimension ref="B2:H12"/>
  <sheetViews>
    <sheetView workbookViewId="0">
      <selection activeCell="B6" sqref="B6:G12"/>
    </sheetView>
  </sheetViews>
  <sheetFormatPr baseColWidth="10" defaultRowHeight="15" x14ac:dyDescent="0.25"/>
  <cols>
    <col min="2" max="2" width="44.85546875" customWidth="1"/>
    <col min="3" max="3" width="10.42578125" customWidth="1"/>
    <col min="4" max="4" width="9.28515625" customWidth="1"/>
    <col min="6" max="6" width="10.5703125" customWidth="1"/>
  </cols>
  <sheetData>
    <row r="2" spans="2:8" x14ac:dyDescent="0.25">
      <c r="B2" t="s">
        <v>236</v>
      </c>
    </row>
    <row r="3" spans="2:8" x14ac:dyDescent="0.25">
      <c r="B3" t="s">
        <v>237</v>
      </c>
    </row>
    <row r="5" spans="2:8" x14ac:dyDescent="0.25">
      <c r="B5" s="246"/>
      <c r="C5" s="85"/>
      <c r="D5" s="248"/>
      <c r="E5" s="250"/>
      <c r="F5" s="250"/>
      <c r="H5" t="s">
        <v>251</v>
      </c>
    </row>
    <row r="6" spans="2:8" x14ac:dyDescent="0.25">
      <c r="B6" s="247" t="s">
        <v>243</v>
      </c>
      <c r="C6" s="85" t="s">
        <v>245</v>
      </c>
      <c r="D6" s="248" t="s">
        <v>246</v>
      </c>
      <c r="E6" s="249" t="s">
        <v>247</v>
      </c>
      <c r="F6" s="251" t="s">
        <v>248</v>
      </c>
      <c r="H6" t="s">
        <v>254</v>
      </c>
    </row>
    <row r="7" spans="2:8" x14ac:dyDescent="0.25">
      <c r="B7" s="247" t="s">
        <v>244</v>
      </c>
      <c r="C7" s="85" t="s">
        <v>245</v>
      </c>
      <c r="D7" s="248" t="s">
        <v>246</v>
      </c>
      <c r="E7" s="249" t="s">
        <v>247</v>
      </c>
      <c r="F7" s="251" t="s">
        <v>248</v>
      </c>
      <c r="H7" t="s">
        <v>253</v>
      </c>
    </row>
    <row r="8" spans="2:8" x14ac:dyDescent="0.25">
      <c r="B8" s="247" t="s">
        <v>241</v>
      </c>
      <c r="C8" s="85" t="s">
        <v>245</v>
      </c>
      <c r="D8" s="248" t="s">
        <v>246</v>
      </c>
      <c r="E8" s="249" t="s">
        <v>247</v>
      </c>
      <c r="F8" s="251" t="s">
        <v>248</v>
      </c>
      <c r="H8" t="s">
        <v>252</v>
      </c>
    </row>
    <row r="9" spans="2:8" x14ac:dyDescent="0.25">
      <c r="B9" s="247" t="s">
        <v>239</v>
      </c>
      <c r="C9" s="85" t="s">
        <v>245</v>
      </c>
      <c r="D9" s="248" t="s">
        <v>246</v>
      </c>
      <c r="E9" s="250" t="s">
        <v>249</v>
      </c>
      <c r="F9" s="251" t="s">
        <v>248</v>
      </c>
      <c r="H9" t="s">
        <v>250</v>
      </c>
    </row>
    <row r="10" spans="2:8" x14ac:dyDescent="0.25">
      <c r="B10" s="247" t="s">
        <v>242</v>
      </c>
      <c r="C10" s="85" t="s">
        <v>245</v>
      </c>
      <c r="D10" s="248" t="s">
        <v>246</v>
      </c>
      <c r="E10" s="250" t="s">
        <v>249</v>
      </c>
      <c r="F10" s="251" t="s">
        <v>248</v>
      </c>
      <c r="H10" t="s">
        <v>252</v>
      </c>
    </row>
    <row r="11" spans="2:8" x14ac:dyDescent="0.25">
      <c r="B11" s="247" t="s">
        <v>240</v>
      </c>
      <c r="C11" s="85" t="s">
        <v>245</v>
      </c>
      <c r="D11" s="250" t="s">
        <v>249</v>
      </c>
      <c r="E11" s="250" t="s">
        <v>249</v>
      </c>
      <c r="F11" s="251" t="s">
        <v>248</v>
      </c>
      <c r="H11" t="s">
        <v>253</v>
      </c>
    </row>
    <row r="12" spans="2:8" x14ac:dyDescent="0.25">
      <c r="B12" s="246" t="s">
        <v>238</v>
      </c>
      <c r="C12" s="85" t="s">
        <v>245</v>
      </c>
      <c r="D12" s="248" t="s">
        <v>246</v>
      </c>
      <c r="E12" s="250" t="s">
        <v>249</v>
      </c>
      <c r="F12" s="250" t="s">
        <v>249</v>
      </c>
      <c r="H12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6</vt:i4>
      </vt:variant>
    </vt:vector>
  </HeadingPairs>
  <TitlesOfParts>
    <vt:vector size="13" baseType="lpstr">
      <vt:lpstr>26_27_V6</vt:lpstr>
      <vt:lpstr>26_27_V5</vt:lpstr>
      <vt:lpstr>26_27_V3</vt:lpstr>
      <vt:lpstr>26_27_V2</vt:lpstr>
      <vt:lpstr>26_27_V1</vt:lpstr>
      <vt:lpstr>26_27_V0</vt:lpstr>
      <vt:lpstr>Bilan CT fin janvier</vt:lpstr>
      <vt:lpstr>'26_27_V0'!Zone_d_impression</vt:lpstr>
      <vt:lpstr>'26_27_V1'!Zone_d_impression</vt:lpstr>
      <vt:lpstr>'26_27_V2'!Zone_d_impression</vt:lpstr>
      <vt:lpstr>'26_27_V3'!Zone_d_impression</vt:lpstr>
      <vt:lpstr>'26_27_V5'!Zone_d_impression</vt:lpstr>
      <vt:lpstr>'26_27_V6'!Zone_d_impression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taillebot.v</dc:creator>
  <cp:lastModifiedBy>taillebot.v</cp:lastModifiedBy>
  <cp:lastPrinted>2025-07-08T13:13:37Z</cp:lastPrinted>
  <dcterms:created xsi:type="dcterms:W3CDTF">2021-07-02T12:16:55Z</dcterms:created>
  <dcterms:modified xsi:type="dcterms:W3CDTF">2026-09-16T15:57:55Z</dcterms:modified>
</cp:coreProperties>
</file>